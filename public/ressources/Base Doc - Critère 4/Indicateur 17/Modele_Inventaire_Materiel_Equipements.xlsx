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🖥 Matériel info" sheetId="2" state="visible" r:id="rId4"/>
    <sheet name="🎓 Matériel pédago" sheetId="3" state="visible" r:id="rId5"/>
    <sheet name="📺 Studio distanciel" sheetId="4" state="visible" r:id="rId6"/>
    <sheet name="🛠 Équipements CFA" sheetId="5" state="visible" r:id="rId7"/>
    <sheet name="📊 Synthèse &amp; aler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<sst xmlns="http://schemas.openxmlformats.org/spreadsheetml/2006/main" count="275" uniqueCount="160">
  <si>
    <t xml:space="preserve">INVENTAIRE MATÉRIEL &amp; ÉQUIPEMENTS</t>
  </si>
  <si>
    <t xml:space="preserve">Modèle M33 — Inventaire détaillé des moyens techniques et pédagogiques — Ind. 17 (Majeure)</t>
  </si>
  <si>
    <t xml:space="preserve">À QUOI SERT CE DOCUMENT</t>
  </si>
  <si>
    <t xml:space="preserve">Inventaire détaillé de tous les moyens techniques mobilisés pour les prestations. C'est l'une des pièces principales du dossier preuves Ind. 17 (Majeure). Tenu à jour annuellement et à chaque acquisition/déclassement. Compatible avec la présentation en audit Qualiopi et avec les besoins de gestion interne.</t>
  </si>
  <si>
    <t xml:space="preserve">STRUCTURE DU CLASSEUR</t>
  </si>
  <si>
    <t xml:space="preserve">🖥 Matériel informatique &amp; numérique</t>
  </si>
  <si>
    <t xml:space="preserve">Postes, écrans, projecteurs, plateformes — clé pour la FOAD.</t>
  </si>
  <si>
    <t xml:space="preserve">🎓 Matériel pédagogique présentiel</t>
  </si>
  <si>
    <t xml:space="preserve">Tableaux, paperboards, équipements spécifiques aux modules.</t>
  </si>
  <si>
    <t xml:space="preserve">📺 Studio distanciel</t>
  </si>
  <si>
    <t xml:space="preserve">Caméras, micros, éclairage, fond — anti-piège « webcam laptop ».</t>
  </si>
  <si>
    <t xml:space="preserve">🛠 Équipements CFA (plateaux techniques)</t>
  </si>
  <si>
    <t xml:space="preserve">Pour CFA uniquement : machines, outils, EPI.</t>
  </si>
  <si>
    <t xml:space="preserve">📊 Synthèse &amp; alertes</t>
  </si>
  <si>
    <t xml:space="preserve">Vue d'ensemble + alertes maintenance/renouvellement.</t>
  </si>
  <si>
    <t xml:space="preserve">LÉGENDE — ÉTAT DU MATÉRIEL</t>
  </si>
  <si>
    <t xml:space="preserve">✓ Bon état</t>
  </si>
  <si>
    <t xml:space="preserve">Matériel opérationnel, vérifié, sans intervention requise</t>
  </si>
  <si>
    <t xml:space="preserve">⚠ Vigilance</t>
  </si>
  <si>
    <t xml:space="preserve">Matériel fonctionnel mais à surveiller (âge, performance)</t>
  </si>
  <si>
    <t xml:space="preserve">🔧 Maintenance</t>
  </si>
  <si>
    <t xml:space="preserve">Matériel en panne ou nécessitant réparation/révision</t>
  </si>
  <si>
    <t xml:space="preserve">❌ Déclassé</t>
  </si>
  <si>
    <t xml:space="preserve">Matériel hors service — à remplacer ou supprimé</t>
  </si>
  <si>
    <t xml:space="preserve">💡 Ind. 17</t>
  </si>
  <si>
    <t xml:space="preserve">L'inventaire est régulièrement demandé en audit Qualiopi. Il doit être : daté, exhaustif, et accompagné de photos pour le matériel important. Mettre à jour à chaque acquisition. La date de dernière mise à jour est visible en haut de chaque onglet.</t>
  </si>
  <si>
    <t xml:space="preserve">🖥 MATÉRIEL INFORMATIQUE &amp; NUMÉRIQUE</t>
  </si>
  <si>
    <t xml:space="preserve">Postes, écrans, projecteurs, équipements informatiques — Ind. 17</t>
  </si>
  <si>
    <t xml:space="preserve">Date de dernière mise à jour :</t>
  </si>
  <si>
    <t xml:space="preserve">[ JJ / MM / AAAA ]</t>
  </si>
  <si>
    <t xml:space="preserve">Responsable :</t>
  </si>
  <si>
    <t xml:space="preserve">[ Prénom NOM ]</t>
  </si>
  <si>
    <t xml:space="preserve">#</t>
  </si>
  <si>
    <t xml:space="preserve">Désignation</t>
  </si>
  <si>
    <t xml:space="preserve">Marque / Modèle</t>
  </si>
  <si>
    <t xml:space="preserve">Quantité</t>
  </si>
  <si>
    <t xml:space="preserve">Année</t>
  </si>
  <si>
    <t xml:space="preserve">État</t>
  </si>
  <si>
    <t xml:space="preserve">Localisation</t>
  </si>
  <si>
    <t xml:space="preserve">Observations</t>
  </si>
  <si>
    <t xml:space="preserve">01</t>
  </si>
  <si>
    <t xml:space="preserve">Ordinateur portable formateur</t>
  </si>
  <si>
    <t xml:space="preserve">Dell Latitude 5430</t>
  </si>
  <si>
    <t xml:space="preserve">5</t>
  </si>
  <si>
    <t xml:space="preserve">2024</t>
  </si>
  <si>
    <t xml:space="preserve">Bureau pédagogique</t>
  </si>
  <si>
    <t xml:space="preserve">Renouvelés en 2024</t>
  </si>
  <si>
    <t xml:space="preserve">02</t>
  </si>
  <si>
    <t xml:space="preserve">Vidéoprojecteur HD</t>
  </si>
  <si>
    <t xml:space="preserve">Epson EB-2042</t>
  </si>
  <si>
    <t xml:space="preserve">3</t>
  </si>
  <si>
    <t xml:space="preserve">2023</t>
  </si>
  <si>
    <t xml:space="preserve">Salles 1, 2 et 3</t>
  </si>
  <si>
    <t xml:space="preserve">Lampe à changer en 2026</t>
  </si>
  <si>
    <t xml:space="preserve">03</t>
  </si>
  <si>
    <t xml:space="preserve">Tableau blanc interactif (TBI)</t>
  </si>
  <si>
    <t xml:space="preserve">SMART Board 7000</t>
  </si>
  <si>
    <t xml:space="preserve">2</t>
  </si>
  <si>
    <t xml:space="preserve">Salles 1 et 3</t>
  </si>
  <si>
    <t xml:space="preserve">Formation équipe planifiée</t>
  </si>
  <si>
    <t xml:space="preserve">04</t>
  </si>
  <si>
    <t xml:space="preserve">Poste informatique bénéficiaire</t>
  </si>
  <si>
    <t xml:space="preserve">HP EliteDesk + écran 24''</t>
  </si>
  <si>
    <t xml:space="preserve">12</t>
  </si>
  <si>
    <t xml:space="preserve">2022</t>
  </si>
  <si>
    <t xml:space="preserve">Salle 4 (informatique)</t>
  </si>
  <si>
    <t xml:space="preserve">Remplacement budgété 2027</t>
  </si>
  <si>
    <t xml:space="preserve">05</t>
  </si>
  <si>
    <t xml:space="preserve">Webcam HD pour visio</t>
  </si>
  <si>
    <t xml:space="preserve">Logitech BRIO 4K</t>
  </si>
  <si>
    <t xml:space="preserve">2025</t>
  </si>
  <si>
    <t xml:space="preserve">Salles équipées visio</t>
  </si>
  <si>
    <t xml:space="preserve">Studio + 2 salles</t>
  </si>
  <si>
    <t xml:space="preserve">06</t>
  </si>
  <si>
    <t xml:space="preserve">Casques audio pédago</t>
  </si>
  <si>
    <t xml:space="preserve">Plantronics BlackWire</t>
  </si>
  <si>
    <t xml:space="preserve">15</t>
  </si>
  <si>
    <t xml:space="preserve">Salles + prêt FOAD</t>
  </si>
  <si>
    <t xml:space="preserve">Désinfection après chaque session</t>
  </si>
  <si>
    <t xml:space="preserve">🎓 MATÉRIEL PÉDAGOGIQUE PRÉSENTIEL</t>
  </si>
  <si>
    <t xml:space="preserve">Mobilier, supports, équipements spécifiques aux modules — Ind. 17</t>
  </si>
  <si>
    <t xml:space="preserve">Paperboard mobile</t>
  </si>
  <si>
    <t xml:space="preserve">Nobo</t>
  </si>
  <si>
    <t xml:space="preserve">4</t>
  </si>
  <si>
    <t xml:space="preserve">Salles 1-4</t>
  </si>
  <si>
    <t xml:space="preserve">Feuilles renouvelées hebdomadairement</t>
  </si>
  <si>
    <t xml:space="preserve">Imprimante / scanner pro</t>
  </si>
  <si>
    <t xml:space="preserve">HP LaserJet MFP</t>
  </si>
  <si>
    <t xml:space="preserve">1</t>
  </si>
  <si>
    <t xml:space="preserve">Espace administratif</t>
  </si>
  <si>
    <t xml:space="preserve">Maintenance annuelle contractuelle</t>
  </si>
  <si>
    <t xml:space="preserve">Mobilier modulable (tables)</t>
  </si>
  <si>
    <t xml:space="preserve">Burostock pro</t>
  </si>
  <si>
    <t xml:space="preserve">24</t>
  </si>
  <si>
    <t xml:space="preserve">2021</t>
  </si>
  <si>
    <t xml:space="preserve">Configurations U / îlots / cours</t>
  </si>
  <si>
    <t xml:space="preserve">Sièges ergonomiques</t>
  </si>
  <si>
    <t xml:space="preserve">Burostock ergo+</t>
  </si>
  <si>
    <t xml:space="preserve">30</t>
  </si>
  <si>
    <t xml:space="preserve">Confort prolongé</t>
  </si>
  <si>
    <t xml:space="preserve">Kit éducation financière</t>
  </si>
  <si>
    <t xml:space="preserve">ESM Materials</t>
  </si>
  <si>
    <t xml:space="preserve">Salle dédiée formation BC</t>
  </si>
  <si>
    <t xml:space="preserve">Pour BC reconversion</t>
  </si>
  <si>
    <t xml:space="preserve">📺 STUDIO DISTANCIEL</t>
  </si>
  <si>
    <t xml:space="preserve">Équipement studio pour classes virtuelles et productions FOAD — anti-piège « studio improvisé »</t>
  </si>
  <si>
    <t xml:space="preserve">Caméra HD studio</t>
  </si>
  <si>
    <t xml:space="preserve">Studio dédié</t>
  </si>
  <si>
    <t xml:space="preserve">≠ webcam laptop — qualité pro</t>
  </si>
  <si>
    <t xml:space="preserve">Micro pro USB</t>
  </si>
  <si>
    <t xml:space="preserve">Blue Yeti Nano</t>
  </si>
  <si>
    <t xml:space="preserve">Studio + sauvegarde</t>
  </si>
  <si>
    <t xml:space="preserve">Filtre anti-pop installé</t>
  </si>
  <si>
    <t xml:space="preserve">Éclairage softbox LED</t>
  </si>
  <si>
    <t xml:space="preserve">Neewer 660</t>
  </si>
  <si>
    <t xml:space="preserve">Studio</t>
  </si>
  <si>
    <t xml:space="preserve">Température ajustable 3200K-5600K</t>
  </si>
  <si>
    <t xml:space="preserve">Fond uni gris pro</t>
  </si>
  <si>
    <t xml:space="preserve">Manfrotto</t>
  </si>
  <si>
    <t xml:space="preserve">Évite le « salon » derrière le formateur</t>
  </si>
  <si>
    <t xml:space="preserve">Tablette graphique annotation</t>
  </si>
  <si>
    <t xml:space="preserve">Wacom Intuos Pro M</t>
  </si>
  <si>
    <t xml:space="preserve">Pour annotations en direct</t>
  </si>
  <si>
    <t xml:space="preserve">Régie / table de mixage</t>
  </si>
  <si>
    <t xml:space="preserve">Rodecaster Pro II</t>
  </si>
  <si>
    <t xml:space="preserve">Formation utilisateurs en cours</t>
  </si>
  <si>
    <t xml:space="preserve">🛠 ÉQUIPEMENTS CFA — PLATEAUX TECHNIQUES</t>
  </si>
  <si>
    <t xml:space="preserve">Machines, outils, EPI — spécifique aux organismes ayant un CFA — Ind. 17 + Ind. 20</t>
  </si>
  <si>
    <t xml:space="preserve">[ Machine spécifique au métier ]</t>
  </si>
  <si>
    <t xml:space="preserve">[ Marque modèle ]</t>
  </si>
  <si>
    <t xml:space="preserve">X</t>
  </si>
  <si>
    <t xml:space="preserve">AAAA</t>
  </si>
  <si>
    <t xml:space="preserve">Plateau X</t>
  </si>
  <si>
    <t xml:space="preserve">Vérification annuelle</t>
  </si>
  <si>
    <t xml:space="preserve">[ EPI casque sécurité ]</t>
  </si>
  <si>
    <t xml:space="preserve">[ Marque ]</t>
  </si>
  <si>
    <t xml:space="preserve">Vestiaire CFA</t>
  </si>
  <si>
    <t xml:space="preserve">Fournis aux apprentis</t>
  </si>
  <si>
    <t xml:space="preserve">[ EPI gants de protection ]</t>
  </si>
  <si>
    <t xml:space="preserve">50</t>
  </si>
  <si>
    <t xml:space="preserve">Renouvelés à la demande</t>
  </si>
  <si>
    <t xml:space="preserve">[ EPI chaussures sécurité ]</t>
  </si>
  <si>
    <t xml:space="preserve">20</t>
  </si>
  <si>
    <t xml:space="preserve">Pointures variées</t>
  </si>
  <si>
    <t xml:space="preserve">[ Outillage spécifique métier ]</t>
  </si>
  <si>
    <t xml:space="preserve">Atelier</t>
  </si>
  <si>
    <t xml:space="preserve">Remplacement à prévoir</t>
  </si>
  <si>
    <t xml:space="preserve">📊 SYNTHÈSE &amp; ALERTES</t>
  </si>
  <si>
    <t xml:space="preserve">Vue d'ensemble par catégorie + alertes de maintenance</t>
  </si>
  <si>
    <t xml:space="preserve">Catégorie</t>
  </si>
  <si>
    <t xml:space="preserve">Lignes saisies</t>
  </si>
  <si>
    <t xml:space="preserve">🖥 Matériel info</t>
  </si>
  <si>
    <t xml:space="preserve">🎓 Matériel pédago</t>
  </si>
  <si>
    <t xml:space="preserve">🛠 Équipements CFA</t>
  </si>
  <si>
    <t xml:space="preserve">TOTAL</t>
  </si>
  <si>
    <t xml:space="preserve">🎯 INDICATEURS DE PILOTAGE</t>
  </si>
  <si>
    <t xml:space="preserve">Taux de matériel en bon état</t>
  </si>
  <si>
    <t xml:space="preserve">Nombre total d'alertes (vigilance + maintenance)</t>
  </si>
  <si>
    <t xml:space="preserve">💡 Astuce</t>
  </si>
  <si>
    <t xml:space="preserve">Inventaire à mettre à jour : (1) à chaque acquisition, (2) à chaque déclassement, (3) au minimum 1× par an (revue annuelle). Photographier les éléments importants en complément (anti-piège « studio improvisé »).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</si>
</sst>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12"/>
      <color rgb="FFD85A3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D8EBC2"/>
        <bgColor rgb="FFE8E8E8"/>
      </patternFill>
    </fill>
    <fill>
      <patternFill patternType="solid">
        <fgColor rgb="FFF7DCB8"/>
        <bgColor rgb="FFF5C7C0"/>
      </patternFill>
    </fill>
    <fill>
      <patternFill patternType="solid">
        <fgColor rgb="FFF5C7C0"/>
        <bgColor rgb="FFF7DCB8"/>
      </patternFill>
    </fill>
    <fill>
      <patternFill patternType="solid">
        <fgColor rgb="FFE8E8E8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F1EFE8"/>
        <bgColor rgb="FFFAEEDA"/>
      </patternFill>
    </fill>
    <fill>
      <patternFill patternType="solid">
        <fgColor rgb="FF0F2A47"/>
        <bgColor rgb="FF2C2C2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8EBC2"/>
      <rgbColor rgb="FFF7DCB8"/>
      <rgbColor rgb="FFFBFAF6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6" hidden="false" customHeight="true" outlineLevel="0" collapsed="false">
      <c r="B10" s="6" t="s">
        <v>5</v>
      </c>
      <c r="C10" s="7" t="s">
        <v>6</v>
      </c>
    </row>
    <row r="11" customFormat="false" ht="36" hidden="false" customHeight="true" outlineLevel="0" collapsed="false">
      <c r="B11" s="6" t="s">
        <v>7</v>
      </c>
      <c r="C11" s="7" t="s">
        <v>8</v>
      </c>
    </row>
    <row r="12" customFormat="false" ht="36" hidden="false" customHeight="true" outlineLevel="0" collapsed="false">
      <c r="B12" s="6" t="s">
        <v>9</v>
      </c>
      <c r="C12" s="7" t="s">
        <v>10</v>
      </c>
    </row>
    <row r="13" customFormat="false" ht="36" hidden="false" customHeight="true" outlineLevel="0" collapsed="false">
      <c r="B13" s="6" t="s">
        <v>11</v>
      </c>
      <c r="C13" s="7" t="s">
        <v>12</v>
      </c>
    </row>
    <row r="14" customFormat="false" ht="36" hidden="false" customHeight="true" outlineLevel="0" collapsed="false">
      <c r="B14" s="6" t="s">
        <v>13</v>
      </c>
      <c r="C14" s="7" t="s">
        <v>14</v>
      </c>
    </row>
    <row r="16" customFormat="false" ht="21.75" hidden="false" customHeight="true" outlineLevel="0" collapsed="false">
      <c r="B16" s="4" t="s">
        <v>15</v>
      </c>
      <c r="C16" s="4"/>
    </row>
    <row r="17" customFormat="false" ht="25.5" hidden="false" customHeight="true" outlineLevel="0" collapsed="false">
      <c r="B17" s="8" t="s">
        <v>16</v>
      </c>
      <c r="C17" s="7" t="s">
        <v>17</v>
      </c>
    </row>
    <row r="18" customFormat="false" ht="25.5" hidden="false" customHeight="true" outlineLevel="0" collapsed="false">
      <c r="B18" s="9" t="s">
        <v>18</v>
      </c>
      <c r="C18" s="7" t="s">
        <v>19</v>
      </c>
    </row>
    <row r="19" customFormat="false" ht="25.5" hidden="false" customHeight="true" outlineLevel="0" collapsed="false">
      <c r="B19" s="10" t="s">
        <v>20</v>
      </c>
      <c r="C19" s="7" t="s">
        <v>21</v>
      </c>
    </row>
    <row r="20" customFormat="false" ht="25.5" hidden="false" customHeight="true" outlineLevel="0" collapsed="false">
      <c r="B20" s="11" t="s">
        <v>22</v>
      </c>
      <c r="C20" s="7" t="s">
        <v>23</v>
      </c>
    </row>
    <row r="22" customFormat="false" ht="49.5" hidden="false" customHeight="true" outlineLevel="0" collapsed="false">
      <c r="B22" s="12" t="s">
        <v>24</v>
      </c>
      <c r="C22" s="13" t="s">
        <v>25</v>
      </c>
    </row>
  </sheetData>
  <mergeCells count="5">
    <mergeCell ref="B2:C2"/>
    <mergeCell ref="B3:C3"/>
    <mergeCell ref="B6:C6"/>
    <mergeCell ref="B9:C9"/>
    <mergeCell ref="B16:C16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&amp;K888780M33 — Inventaire matériel équipements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4" t="s">
        <v>26</v>
      </c>
      <c r="C2" s="14"/>
      <c r="D2" s="14"/>
      <c r="E2" s="14"/>
      <c r="F2" s="14"/>
      <c r="G2" s="14"/>
      <c r="H2" s="14"/>
      <c r="I2" s="14"/>
    </row>
    <row r="3" customFormat="false" ht="19.5" hidden="false" customHeight="true" outlineLevel="0" collapsed="false">
      <c r="B3" s="15" t="s">
        <v>27</v>
      </c>
      <c r="C3" s="15"/>
      <c r="D3" s="15"/>
      <c r="E3" s="15"/>
      <c r="F3" s="15"/>
      <c r="G3" s="15"/>
      <c r="H3" s="15"/>
      <c r="I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24" hidden="false" customHeight="true" outlineLevel="0" collapsed="false">
      <c r="B6" s="16" t="s">
        <v>28</v>
      </c>
      <c r="C6" s="16"/>
      <c r="D6" s="17" t="s">
        <v>29</v>
      </c>
      <c r="E6" s="16" t="s">
        <v>30</v>
      </c>
      <c r="F6" s="17" t="s">
        <v>31</v>
      </c>
      <c r="G6" s="17"/>
      <c r="H6" s="17"/>
      <c r="I6" s="17"/>
    </row>
    <row r="8" customFormat="false" ht="30" hidden="false" customHeight="true" outlineLevel="0" collapsed="false">
      <c r="B8" s="18" t="s">
        <v>32</v>
      </c>
      <c r="C8" s="18" t="s">
        <v>33</v>
      </c>
      <c r="D8" s="18" t="s">
        <v>34</v>
      </c>
      <c r="E8" s="18" t="s">
        <v>35</v>
      </c>
      <c r="F8" s="18" t="s">
        <v>36</v>
      </c>
      <c r="G8" s="18" t="s">
        <v>37</v>
      </c>
      <c r="H8" s="18" t="s">
        <v>38</v>
      </c>
      <c r="I8" s="18" t="s">
        <v>39</v>
      </c>
    </row>
    <row r="9" customFormat="false" ht="30" hidden="false" customHeight="true" outlineLevel="0" collapsed="false">
      <c r="B9" s="19" t="s">
        <v>40</v>
      </c>
      <c r="C9" s="20" t="s">
        <v>41</v>
      </c>
      <c r="D9" s="20" t="s">
        <v>42</v>
      </c>
      <c r="E9" s="19" t="s">
        <v>43</v>
      </c>
      <c r="F9" s="19" t="s">
        <v>44</v>
      </c>
      <c r="G9" s="19" t="s">
        <v>16</v>
      </c>
      <c r="H9" s="19" t="s">
        <v>45</v>
      </c>
      <c r="I9" s="20" t="s">
        <v>46</v>
      </c>
    </row>
    <row r="10" customFormat="false" ht="30" hidden="false" customHeight="true" outlineLevel="0" collapsed="false">
      <c r="B10" s="19" t="s">
        <v>47</v>
      </c>
      <c r="C10" s="20" t="s">
        <v>48</v>
      </c>
      <c r="D10" s="20" t="s">
        <v>49</v>
      </c>
      <c r="E10" s="19" t="s">
        <v>50</v>
      </c>
      <c r="F10" s="19" t="s">
        <v>51</v>
      </c>
      <c r="G10" s="19" t="s">
        <v>16</v>
      </c>
      <c r="H10" s="19" t="s">
        <v>52</v>
      </c>
      <c r="I10" s="20" t="s">
        <v>53</v>
      </c>
    </row>
    <row r="11" customFormat="false" ht="30" hidden="false" customHeight="true" outlineLevel="0" collapsed="false">
      <c r="B11" s="19" t="s">
        <v>54</v>
      </c>
      <c r="C11" s="20" t="s">
        <v>55</v>
      </c>
      <c r="D11" s="20" t="s">
        <v>56</v>
      </c>
      <c r="E11" s="19" t="s">
        <v>57</v>
      </c>
      <c r="F11" s="19" t="s">
        <v>44</v>
      </c>
      <c r="G11" s="19" t="s">
        <v>16</v>
      </c>
      <c r="H11" s="19" t="s">
        <v>58</v>
      </c>
      <c r="I11" s="20" t="s">
        <v>59</v>
      </c>
    </row>
    <row r="12" customFormat="false" ht="30" hidden="false" customHeight="true" outlineLevel="0" collapsed="false">
      <c r="B12" s="19" t="s">
        <v>60</v>
      </c>
      <c r="C12" s="20" t="s">
        <v>61</v>
      </c>
      <c r="D12" s="20" t="s">
        <v>62</v>
      </c>
      <c r="E12" s="19" t="s">
        <v>63</v>
      </c>
      <c r="F12" s="19" t="s">
        <v>64</v>
      </c>
      <c r="G12" s="19" t="s">
        <v>18</v>
      </c>
      <c r="H12" s="19" t="s">
        <v>65</v>
      </c>
      <c r="I12" s="20" t="s">
        <v>66</v>
      </c>
    </row>
    <row r="13" customFormat="false" ht="30" hidden="false" customHeight="true" outlineLevel="0" collapsed="false">
      <c r="B13" s="19" t="s">
        <v>67</v>
      </c>
      <c r="C13" s="20" t="s">
        <v>68</v>
      </c>
      <c r="D13" s="20" t="s">
        <v>69</v>
      </c>
      <c r="E13" s="19" t="s">
        <v>50</v>
      </c>
      <c r="F13" s="19" t="s">
        <v>70</v>
      </c>
      <c r="G13" s="19" t="s">
        <v>16</v>
      </c>
      <c r="H13" s="19" t="s">
        <v>71</v>
      </c>
      <c r="I13" s="20" t="s">
        <v>72</v>
      </c>
    </row>
    <row r="14" customFormat="false" ht="30" hidden="false" customHeight="true" outlineLevel="0" collapsed="false">
      <c r="B14" s="19" t="s">
        <v>73</v>
      </c>
      <c r="C14" s="20" t="s">
        <v>74</v>
      </c>
      <c r="D14" s="20" t="s">
        <v>75</v>
      </c>
      <c r="E14" s="19" t="s">
        <v>76</v>
      </c>
      <c r="F14" s="19" t="s">
        <v>44</v>
      </c>
      <c r="G14" s="19" t="s">
        <v>16</v>
      </c>
      <c r="H14" s="19" t="s">
        <v>77</v>
      </c>
      <c r="I14" s="20" t="s">
        <v>78</v>
      </c>
    </row>
    <row r="15" customFormat="false" ht="24" hidden="false" customHeight="true" outlineLevel="0" collapsed="false">
      <c r="B15" s="21"/>
      <c r="C15" s="22"/>
      <c r="D15" s="22"/>
      <c r="E15" s="21"/>
      <c r="F15" s="21"/>
      <c r="G15" s="21"/>
      <c r="H15" s="21"/>
      <c r="I15" s="22"/>
    </row>
    <row r="16" customFormat="false" ht="24" hidden="false" customHeight="true" outlineLevel="0" collapsed="false">
      <c r="B16" s="21"/>
      <c r="C16" s="22"/>
      <c r="D16" s="22"/>
      <c r="E16" s="21"/>
      <c r="F16" s="21"/>
      <c r="G16" s="21"/>
      <c r="H16" s="21"/>
      <c r="I16" s="22"/>
    </row>
    <row r="17" customFormat="false" ht="24" hidden="false" customHeight="true" outlineLevel="0" collapsed="false">
      <c r="B17" s="21"/>
      <c r="C17" s="22"/>
      <c r="D17" s="22"/>
      <c r="E17" s="21"/>
      <c r="F17" s="21"/>
      <c r="G17" s="21"/>
      <c r="H17" s="21"/>
      <c r="I17" s="22"/>
    </row>
    <row r="18" customFormat="false" ht="24" hidden="false" customHeight="true" outlineLevel="0" collapsed="false">
      <c r="B18" s="21"/>
      <c r="C18" s="22"/>
      <c r="D18" s="22"/>
      <c r="E18" s="21"/>
      <c r="F18" s="21"/>
      <c r="G18" s="21"/>
      <c r="H18" s="21"/>
      <c r="I18" s="22"/>
    </row>
    <row r="19" customFormat="false" ht="24" hidden="false" customHeight="true" outlineLevel="0" collapsed="false">
      <c r="B19" s="21"/>
      <c r="C19" s="22"/>
      <c r="D19" s="22"/>
      <c r="E19" s="21"/>
      <c r="F19" s="21"/>
      <c r="G19" s="21"/>
      <c r="H19" s="21"/>
      <c r="I19" s="22"/>
    </row>
    <row r="20" customFormat="false" ht="24" hidden="false" customHeight="true" outlineLevel="0" collapsed="false">
      <c r="B20" s="21"/>
      <c r="C20" s="22"/>
      <c r="D20" s="22"/>
      <c r="E20" s="21"/>
      <c r="F20" s="21"/>
      <c r="G20" s="21"/>
      <c r="H20" s="21"/>
      <c r="I20" s="22"/>
    </row>
    <row r="21" customFormat="false" ht="24" hidden="false" customHeight="true" outlineLevel="0" collapsed="false">
      <c r="B21" s="21"/>
      <c r="C21" s="22"/>
      <c r="D21" s="22"/>
      <c r="E21" s="21"/>
      <c r="F21" s="21"/>
      <c r="G21" s="21"/>
      <c r="H21" s="21"/>
      <c r="I21" s="22"/>
    </row>
    <row r="22" customFormat="false" ht="24" hidden="false" customHeight="true" outlineLevel="0" collapsed="false">
      <c r="B22" s="21"/>
      <c r="C22" s="22"/>
      <c r="D22" s="22"/>
      <c r="E22" s="21"/>
      <c r="F22" s="21"/>
      <c r="G22" s="21"/>
      <c r="H22" s="21"/>
      <c r="I22" s="22"/>
    </row>
    <row r="23" customFormat="false" ht="24" hidden="false" customHeight="true" outlineLevel="0" collapsed="false">
      <c r="B23" s="21"/>
      <c r="C23" s="22"/>
      <c r="D23" s="22"/>
      <c r="E23" s="21"/>
      <c r="F23" s="21"/>
      <c r="G23" s="21"/>
      <c r="H23" s="21"/>
      <c r="I23" s="22"/>
    </row>
    <row r="24" customFormat="false" ht="24" hidden="false" customHeight="true" outlineLevel="0" collapsed="false">
      <c r="B24" s="21"/>
      <c r="C24" s="22"/>
      <c r="D24" s="22"/>
      <c r="E24" s="21"/>
      <c r="F24" s="21"/>
      <c r="G24" s="21"/>
      <c r="H24" s="21"/>
      <c r="I24" s="22"/>
    </row>
    <row r="25" customFormat="false" ht="24" hidden="false" customHeight="true" outlineLevel="0" collapsed="false">
      <c r="B25" s="21"/>
      <c r="C25" s="22"/>
      <c r="D25" s="22"/>
      <c r="E25" s="21"/>
      <c r="F25" s="21"/>
      <c r="G25" s="21"/>
      <c r="H25" s="21"/>
      <c r="I25" s="22"/>
    </row>
    <row r="26" customFormat="false" ht="24" hidden="false" customHeight="true" outlineLevel="0" collapsed="false">
      <c r="B26" s="21"/>
      <c r="C26" s="22"/>
      <c r="D26" s="22"/>
      <c r="E26" s="21"/>
      <c r="F26" s="21"/>
      <c r="G26" s="21"/>
      <c r="H26" s="21"/>
      <c r="I26" s="22"/>
    </row>
    <row r="27" customFormat="false" ht="24" hidden="false" customHeight="true" outlineLevel="0" collapsed="false">
      <c r="B27" s="21"/>
      <c r="C27" s="22"/>
      <c r="D27" s="22"/>
      <c r="E27" s="21"/>
      <c r="F27" s="21"/>
      <c r="G27" s="21"/>
      <c r="H27" s="21"/>
      <c r="I27" s="22"/>
    </row>
    <row r="28" customFormat="false" ht="24" hidden="false" customHeight="true" outlineLevel="0" collapsed="false">
      <c r="B28" s="21"/>
      <c r="C28" s="22"/>
      <c r="D28" s="22"/>
      <c r="E28" s="21"/>
      <c r="F28" s="21"/>
      <c r="G28" s="21"/>
      <c r="H28" s="21"/>
      <c r="I28" s="22"/>
    </row>
    <row r="29" customFormat="false" ht="24" hidden="false" customHeight="true" outlineLevel="0" collapsed="false">
      <c r="B29" s="21"/>
      <c r="C29" s="22"/>
      <c r="D29" s="22"/>
      <c r="E29" s="21"/>
      <c r="F29" s="21"/>
      <c r="G29" s="21"/>
      <c r="H29" s="21"/>
      <c r="I29" s="22"/>
    </row>
    <row r="30" customFormat="false" ht="24" hidden="false" customHeight="true" outlineLevel="0" collapsed="false">
      <c r="B30" s="21"/>
      <c r="C30" s="22"/>
      <c r="D30" s="22"/>
      <c r="E30" s="21"/>
      <c r="F30" s="21"/>
      <c r="G30" s="21"/>
      <c r="H30" s="21"/>
      <c r="I30" s="22"/>
    </row>
    <row r="31" customFormat="false" ht="24" hidden="false" customHeight="true" outlineLevel="0" collapsed="false">
      <c r="B31" s="21"/>
      <c r="C31" s="22"/>
      <c r="D31" s="22"/>
      <c r="E31" s="21"/>
      <c r="F31" s="21"/>
      <c r="G31" s="21"/>
      <c r="H31" s="21"/>
      <c r="I31" s="22"/>
    </row>
    <row r="32" customFormat="false" ht="24" hidden="false" customHeight="true" outlineLevel="0" collapsed="false">
      <c r="B32" s="21"/>
      <c r="C32" s="22"/>
      <c r="D32" s="22"/>
      <c r="E32" s="21"/>
      <c r="F32" s="21"/>
      <c r="G32" s="21"/>
      <c r="H32" s="21"/>
      <c r="I32" s="22"/>
    </row>
    <row r="33" customFormat="false" ht="24" hidden="false" customHeight="true" outlineLevel="0" collapsed="false">
      <c r="B33" s="21"/>
      <c r="C33" s="22"/>
      <c r="D33" s="22"/>
      <c r="E33" s="21"/>
      <c r="F33" s="21"/>
      <c r="G33" s="21"/>
      <c r="H33" s="21"/>
      <c r="I33" s="22"/>
    </row>
    <row r="34" customFormat="false" ht="24" hidden="false" customHeight="true" outlineLevel="0" collapsed="false">
      <c r="B34" s="21"/>
      <c r="C34" s="22"/>
      <c r="D34" s="22"/>
      <c r="E34" s="21"/>
      <c r="F34" s="21"/>
      <c r="G34" s="21"/>
      <c r="H34" s="21"/>
      <c r="I34" s="22"/>
    </row>
  </sheetData>
  <mergeCells count="4">
    <mergeCell ref="B2:I2"/>
    <mergeCell ref="B3:I3"/>
    <mergeCell ref="B6:C6"/>
    <mergeCell ref="F6:I6"/>
  </mergeCells>
  <conditionalFormatting sqref="G9:G34">
    <cfRule type="expression" priority="2" aboveAverage="0" equalAverage="0" bottom="0" percent="0" rank="0" text="" dxfId="0">
      <formula>G9="✓ Bon état"</formula>
    </cfRule>
    <cfRule type="expression" priority="3" aboveAverage="0" equalAverage="0" bottom="0" percent="0" rank="0" text="" dxfId="1">
      <formula>G9="⚠ Vigilance"</formula>
    </cfRule>
    <cfRule type="expression" priority="4" aboveAverage="0" equalAverage="0" bottom="0" percent="0" rank="0" text="" dxfId="2">
      <formula>G9="🔧 Maintenance"</formula>
    </cfRule>
    <cfRule type="expression" priority="5" aboveAverage="0" equalAverage="0" bottom="0" percent="0" rank="0" text="" dxfId="3">
      <formula>G9="❌ Déclassé"</formula>
    </cfRule>
  </conditionalFormatting>
  <dataValidations count="1">
    <dataValidation allowBlank="true" errorStyle="stop" operator="between" showDropDown="false" showErrorMessage="false" showInputMessage="false" sqref="G15:G34" type="list">
      <formula1>"✓ Bon état,⚠ Vigilance,🔧 Maintenance,❌ Déclassé"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&amp;K888780M33 — Inventaire matériel équipements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4" t="s">
        <v>79</v>
      </c>
      <c r="C2" s="14"/>
      <c r="D2" s="14"/>
      <c r="E2" s="14"/>
      <c r="F2" s="14"/>
      <c r="G2" s="14"/>
      <c r="H2" s="14"/>
      <c r="I2" s="14"/>
    </row>
    <row r="3" customFormat="false" ht="19.5" hidden="false" customHeight="true" outlineLevel="0" collapsed="false">
      <c r="B3" s="15" t="s">
        <v>80</v>
      </c>
      <c r="C3" s="15"/>
      <c r="D3" s="15"/>
      <c r="E3" s="15"/>
      <c r="F3" s="15"/>
      <c r="G3" s="15"/>
      <c r="H3" s="15"/>
      <c r="I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24" hidden="false" customHeight="true" outlineLevel="0" collapsed="false">
      <c r="B6" s="16" t="s">
        <v>28</v>
      </c>
      <c r="C6" s="16"/>
      <c r="D6" s="17" t="s">
        <v>29</v>
      </c>
      <c r="E6" s="16" t="s">
        <v>30</v>
      </c>
      <c r="F6" s="17" t="s">
        <v>31</v>
      </c>
      <c r="G6" s="17"/>
      <c r="H6" s="17"/>
      <c r="I6" s="17"/>
    </row>
    <row r="8" customFormat="false" ht="30" hidden="false" customHeight="true" outlineLevel="0" collapsed="false">
      <c r="B8" s="18" t="s">
        <v>32</v>
      </c>
      <c r="C8" s="18" t="s">
        <v>33</v>
      </c>
      <c r="D8" s="18" t="s">
        <v>34</v>
      </c>
      <c r="E8" s="18" t="s">
        <v>35</v>
      </c>
      <c r="F8" s="18" t="s">
        <v>36</v>
      </c>
      <c r="G8" s="18" t="s">
        <v>37</v>
      </c>
      <c r="H8" s="18" t="s">
        <v>38</v>
      </c>
      <c r="I8" s="18" t="s">
        <v>39</v>
      </c>
    </row>
    <row r="9" customFormat="false" ht="30" hidden="false" customHeight="true" outlineLevel="0" collapsed="false">
      <c r="B9" s="19" t="s">
        <v>40</v>
      </c>
      <c r="C9" s="20" t="s">
        <v>81</v>
      </c>
      <c r="D9" s="20" t="s">
        <v>82</v>
      </c>
      <c r="E9" s="19" t="s">
        <v>83</v>
      </c>
      <c r="F9" s="19" t="s">
        <v>64</v>
      </c>
      <c r="G9" s="19" t="s">
        <v>16</v>
      </c>
      <c r="H9" s="19" t="s">
        <v>84</v>
      </c>
      <c r="I9" s="20" t="s">
        <v>85</v>
      </c>
    </row>
    <row r="10" customFormat="false" ht="30" hidden="false" customHeight="true" outlineLevel="0" collapsed="false">
      <c r="B10" s="19" t="s">
        <v>47</v>
      </c>
      <c r="C10" s="20" t="s">
        <v>86</v>
      </c>
      <c r="D10" s="20" t="s">
        <v>87</v>
      </c>
      <c r="E10" s="19" t="s">
        <v>88</v>
      </c>
      <c r="F10" s="19" t="s">
        <v>51</v>
      </c>
      <c r="G10" s="19" t="s">
        <v>16</v>
      </c>
      <c r="H10" s="19" t="s">
        <v>89</v>
      </c>
      <c r="I10" s="20" t="s">
        <v>90</v>
      </c>
    </row>
    <row r="11" customFormat="false" ht="30" hidden="false" customHeight="true" outlineLevel="0" collapsed="false">
      <c r="B11" s="19" t="s">
        <v>54</v>
      </c>
      <c r="C11" s="20" t="s">
        <v>91</v>
      </c>
      <c r="D11" s="20" t="s">
        <v>92</v>
      </c>
      <c r="E11" s="19" t="s">
        <v>93</v>
      </c>
      <c r="F11" s="19" t="s">
        <v>94</v>
      </c>
      <c r="G11" s="19" t="s">
        <v>16</v>
      </c>
      <c r="H11" s="19" t="s">
        <v>84</v>
      </c>
      <c r="I11" s="20" t="s">
        <v>95</v>
      </c>
    </row>
    <row r="12" customFormat="false" ht="30" hidden="false" customHeight="true" outlineLevel="0" collapsed="false">
      <c r="B12" s="19" t="s">
        <v>60</v>
      </c>
      <c r="C12" s="20" t="s">
        <v>96</v>
      </c>
      <c r="D12" s="20" t="s">
        <v>97</v>
      </c>
      <c r="E12" s="19" t="s">
        <v>98</v>
      </c>
      <c r="F12" s="19" t="s">
        <v>94</v>
      </c>
      <c r="G12" s="19" t="s">
        <v>16</v>
      </c>
      <c r="H12" s="19" t="s">
        <v>84</v>
      </c>
      <c r="I12" s="20" t="s">
        <v>99</v>
      </c>
    </row>
    <row r="13" customFormat="false" ht="30" hidden="false" customHeight="true" outlineLevel="0" collapsed="false">
      <c r="B13" s="19" t="s">
        <v>67</v>
      </c>
      <c r="C13" s="20" t="s">
        <v>100</v>
      </c>
      <c r="D13" s="20" t="s">
        <v>101</v>
      </c>
      <c r="E13" s="19" t="s">
        <v>57</v>
      </c>
      <c r="F13" s="19" t="s">
        <v>44</v>
      </c>
      <c r="G13" s="19" t="s">
        <v>16</v>
      </c>
      <c r="H13" s="19" t="s">
        <v>102</v>
      </c>
      <c r="I13" s="20" t="s">
        <v>103</v>
      </c>
    </row>
    <row r="14" customFormat="false" ht="24" hidden="false" customHeight="true" outlineLevel="0" collapsed="false">
      <c r="B14" s="21"/>
      <c r="C14" s="22"/>
      <c r="D14" s="22"/>
      <c r="E14" s="21"/>
      <c r="F14" s="21"/>
      <c r="G14" s="21"/>
      <c r="H14" s="21"/>
      <c r="I14" s="22"/>
    </row>
    <row r="15" customFormat="false" ht="24" hidden="false" customHeight="true" outlineLevel="0" collapsed="false">
      <c r="B15" s="21"/>
      <c r="C15" s="22"/>
      <c r="D15" s="22"/>
      <c r="E15" s="21"/>
      <c r="F15" s="21"/>
      <c r="G15" s="21"/>
      <c r="H15" s="21"/>
      <c r="I15" s="22"/>
    </row>
    <row r="16" customFormat="false" ht="24" hidden="false" customHeight="true" outlineLevel="0" collapsed="false">
      <c r="B16" s="21"/>
      <c r="C16" s="22"/>
      <c r="D16" s="22"/>
      <c r="E16" s="21"/>
      <c r="F16" s="21"/>
      <c r="G16" s="21"/>
      <c r="H16" s="21"/>
      <c r="I16" s="22"/>
    </row>
    <row r="17" customFormat="false" ht="24" hidden="false" customHeight="true" outlineLevel="0" collapsed="false">
      <c r="B17" s="21"/>
      <c r="C17" s="22"/>
      <c r="D17" s="22"/>
      <c r="E17" s="21"/>
      <c r="F17" s="21"/>
      <c r="G17" s="21"/>
      <c r="H17" s="21"/>
      <c r="I17" s="22"/>
    </row>
    <row r="18" customFormat="false" ht="24" hidden="false" customHeight="true" outlineLevel="0" collapsed="false">
      <c r="B18" s="21"/>
      <c r="C18" s="22"/>
      <c r="D18" s="22"/>
      <c r="E18" s="21"/>
      <c r="F18" s="21"/>
      <c r="G18" s="21"/>
      <c r="H18" s="21"/>
      <c r="I18" s="22"/>
    </row>
    <row r="19" customFormat="false" ht="24" hidden="false" customHeight="true" outlineLevel="0" collapsed="false">
      <c r="B19" s="21"/>
      <c r="C19" s="22"/>
      <c r="D19" s="22"/>
      <c r="E19" s="21"/>
      <c r="F19" s="21"/>
      <c r="G19" s="21"/>
      <c r="H19" s="21"/>
      <c r="I19" s="22"/>
    </row>
    <row r="20" customFormat="false" ht="24" hidden="false" customHeight="true" outlineLevel="0" collapsed="false">
      <c r="B20" s="21"/>
      <c r="C20" s="22"/>
      <c r="D20" s="22"/>
      <c r="E20" s="21"/>
      <c r="F20" s="21"/>
      <c r="G20" s="21"/>
      <c r="H20" s="21"/>
      <c r="I20" s="22"/>
    </row>
    <row r="21" customFormat="false" ht="24" hidden="false" customHeight="true" outlineLevel="0" collapsed="false">
      <c r="B21" s="21"/>
      <c r="C21" s="22"/>
      <c r="D21" s="22"/>
      <c r="E21" s="21"/>
      <c r="F21" s="21"/>
      <c r="G21" s="21"/>
      <c r="H21" s="21"/>
      <c r="I21" s="22"/>
    </row>
    <row r="22" customFormat="false" ht="24" hidden="false" customHeight="true" outlineLevel="0" collapsed="false">
      <c r="B22" s="21"/>
      <c r="C22" s="22"/>
      <c r="D22" s="22"/>
      <c r="E22" s="21"/>
      <c r="F22" s="21"/>
      <c r="G22" s="21"/>
      <c r="H22" s="21"/>
      <c r="I22" s="22"/>
    </row>
    <row r="23" customFormat="false" ht="24" hidden="false" customHeight="true" outlineLevel="0" collapsed="false">
      <c r="B23" s="21"/>
      <c r="C23" s="22"/>
      <c r="D23" s="22"/>
      <c r="E23" s="21"/>
      <c r="F23" s="21"/>
      <c r="G23" s="21"/>
      <c r="H23" s="21"/>
      <c r="I23" s="22"/>
    </row>
    <row r="24" customFormat="false" ht="24" hidden="false" customHeight="true" outlineLevel="0" collapsed="false">
      <c r="B24" s="21"/>
      <c r="C24" s="22"/>
      <c r="D24" s="22"/>
      <c r="E24" s="21"/>
      <c r="F24" s="21"/>
      <c r="G24" s="21"/>
      <c r="H24" s="21"/>
      <c r="I24" s="22"/>
    </row>
    <row r="25" customFormat="false" ht="24" hidden="false" customHeight="true" outlineLevel="0" collapsed="false">
      <c r="B25" s="21"/>
      <c r="C25" s="22"/>
      <c r="D25" s="22"/>
      <c r="E25" s="21"/>
      <c r="F25" s="21"/>
      <c r="G25" s="21"/>
      <c r="H25" s="21"/>
      <c r="I25" s="22"/>
    </row>
    <row r="26" customFormat="false" ht="24" hidden="false" customHeight="true" outlineLevel="0" collapsed="false">
      <c r="B26" s="21"/>
      <c r="C26" s="22"/>
      <c r="D26" s="22"/>
      <c r="E26" s="21"/>
      <c r="F26" s="21"/>
      <c r="G26" s="21"/>
      <c r="H26" s="21"/>
      <c r="I26" s="22"/>
    </row>
    <row r="27" customFormat="false" ht="24" hidden="false" customHeight="true" outlineLevel="0" collapsed="false">
      <c r="B27" s="21"/>
      <c r="C27" s="22"/>
      <c r="D27" s="22"/>
      <c r="E27" s="21"/>
      <c r="F27" s="21"/>
      <c r="G27" s="21"/>
      <c r="H27" s="21"/>
      <c r="I27" s="22"/>
    </row>
    <row r="28" customFormat="false" ht="24" hidden="false" customHeight="true" outlineLevel="0" collapsed="false">
      <c r="B28" s="21"/>
      <c r="C28" s="22"/>
      <c r="D28" s="22"/>
      <c r="E28" s="21"/>
      <c r="F28" s="21"/>
      <c r="G28" s="21"/>
      <c r="H28" s="21"/>
      <c r="I28" s="22"/>
    </row>
    <row r="29" customFormat="false" ht="24" hidden="false" customHeight="true" outlineLevel="0" collapsed="false">
      <c r="B29" s="21"/>
      <c r="C29" s="22"/>
      <c r="D29" s="22"/>
      <c r="E29" s="21"/>
      <c r="F29" s="21"/>
      <c r="G29" s="21"/>
      <c r="H29" s="21"/>
      <c r="I29" s="22"/>
    </row>
    <row r="30" customFormat="false" ht="24" hidden="false" customHeight="true" outlineLevel="0" collapsed="false">
      <c r="B30" s="21"/>
      <c r="C30" s="22"/>
      <c r="D30" s="22"/>
      <c r="E30" s="21"/>
      <c r="F30" s="21"/>
      <c r="G30" s="21"/>
      <c r="H30" s="21"/>
      <c r="I30" s="22"/>
    </row>
    <row r="31" customFormat="false" ht="24" hidden="false" customHeight="true" outlineLevel="0" collapsed="false">
      <c r="B31" s="21"/>
      <c r="C31" s="22"/>
      <c r="D31" s="22"/>
      <c r="E31" s="21"/>
      <c r="F31" s="21"/>
      <c r="G31" s="21"/>
      <c r="H31" s="21"/>
      <c r="I31" s="22"/>
    </row>
    <row r="32" customFormat="false" ht="24" hidden="false" customHeight="true" outlineLevel="0" collapsed="false">
      <c r="B32" s="21"/>
      <c r="C32" s="22"/>
      <c r="D32" s="22"/>
      <c r="E32" s="21"/>
      <c r="F32" s="21"/>
      <c r="G32" s="21"/>
      <c r="H32" s="21"/>
      <c r="I32" s="22"/>
    </row>
    <row r="33" customFormat="false" ht="24" hidden="false" customHeight="true" outlineLevel="0" collapsed="false">
      <c r="B33" s="21"/>
      <c r="C33" s="22"/>
      <c r="D33" s="22"/>
      <c r="E33" s="21"/>
      <c r="F33" s="21"/>
      <c r="G33" s="21"/>
      <c r="H33" s="21"/>
      <c r="I33" s="22"/>
    </row>
  </sheetData>
  <mergeCells count="4">
    <mergeCell ref="B2:I2"/>
    <mergeCell ref="B3:I3"/>
    <mergeCell ref="B6:C6"/>
    <mergeCell ref="F6:I6"/>
  </mergeCells>
  <conditionalFormatting sqref="G9:G33">
    <cfRule type="expression" priority="2" aboveAverage="0" equalAverage="0" bottom="0" percent="0" rank="0" text="" dxfId="0">
      <formula>G9="✓ Bon état"</formula>
    </cfRule>
    <cfRule type="expression" priority="3" aboveAverage="0" equalAverage="0" bottom="0" percent="0" rank="0" text="" dxfId="1">
      <formula>G9="⚠ Vigilance"</formula>
    </cfRule>
    <cfRule type="expression" priority="4" aboveAverage="0" equalAverage="0" bottom="0" percent="0" rank="0" text="" dxfId="2">
      <formula>G9="🔧 Maintenance"</formula>
    </cfRule>
    <cfRule type="expression" priority="5" aboveAverage="0" equalAverage="0" bottom="0" percent="0" rank="0" text="" dxfId="3">
      <formula>G9="❌ Déclassé"</formula>
    </cfRule>
  </conditionalFormatting>
  <dataValidations count="1">
    <dataValidation allowBlank="true" errorStyle="stop" operator="between" showDropDown="false" showErrorMessage="false" showInputMessage="false" sqref="G14:G33" type="list">
      <formula1>"✓ Bon état,⚠ Vigilance,🔧 Maintenance,❌ Déclassé"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&amp;K888780M33 — Inventaire matériel équipements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4" t="s">
        <v>104</v>
      </c>
      <c r="C2" s="14"/>
      <c r="D2" s="14"/>
      <c r="E2" s="14"/>
      <c r="F2" s="14"/>
      <c r="G2" s="14"/>
      <c r="H2" s="14"/>
      <c r="I2" s="14"/>
    </row>
    <row r="3" customFormat="false" ht="19.5" hidden="false" customHeight="true" outlineLevel="0" collapsed="false">
      <c r="B3" s="15" t="s">
        <v>105</v>
      </c>
      <c r="C3" s="15"/>
      <c r="D3" s="15"/>
      <c r="E3" s="15"/>
      <c r="F3" s="15"/>
      <c r="G3" s="15"/>
      <c r="H3" s="15"/>
      <c r="I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24" hidden="false" customHeight="true" outlineLevel="0" collapsed="false">
      <c r="B6" s="16" t="s">
        <v>28</v>
      </c>
      <c r="C6" s="16"/>
      <c r="D6" s="17" t="s">
        <v>29</v>
      </c>
      <c r="E6" s="16" t="s">
        <v>30</v>
      </c>
      <c r="F6" s="17" t="s">
        <v>31</v>
      </c>
      <c r="G6" s="17"/>
      <c r="H6" s="17"/>
      <c r="I6" s="17"/>
    </row>
    <row r="8" customFormat="false" ht="30" hidden="false" customHeight="true" outlineLevel="0" collapsed="false">
      <c r="B8" s="18" t="s">
        <v>32</v>
      </c>
      <c r="C8" s="18" t="s">
        <v>33</v>
      </c>
      <c r="D8" s="18" t="s">
        <v>34</v>
      </c>
      <c r="E8" s="18" t="s">
        <v>35</v>
      </c>
      <c r="F8" s="18" t="s">
        <v>36</v>
      </c>
      <c r="G8" s="18" t="s">
        <v>37</v>
      </c>
      <c r="H8" s="18" t="s">
        <v>38</v>
      </c>
      <c r="I8" s="18" t="s">
        <v>39</v>
      </c>
    </row>
    <row r="9" customFormat="false" ht="30" hidden="false" customHeight="true" outlineLevel="0" collapsed="false">
      <c r="B9" s="19" t="s">
        <v>40</v>
      </c>
      <c r="C9" s="20" t="s">
        <v>106</v>
      </c>
      <c r="D9" s="20" t="s">
        <v>69</v>
      </c>
      <c r="E9" s="19" t="s">
        <v>88</v>
      </c>
      <c r="F9" s="19" t="s">
        <v>70</v>
      </c>
      <c r="G9" s="19" t="s">
        <v>16</v>
      </c>
      <c r="H9" s="19" t="s">
        <v>107</v>
      </c>
      <c r="I9" s="20" t="s">
        <v>108</v>
      </c>
    </row>
    <row r="10" customFormat="false" ht="30" hidden="false" customHeight="true" outlineLevel="0" collapsed="false">
      <c r="B10" s="19" t="s">
        <v>47</v>
      </c>
      <c r="C10" s="20" t="s">
        <v>109</v>
      </c>
      <c r="D10" s="20" t="s">
        <v>110</v>
      </c>
      <c r="E10" s="19" t="s">
        <v>57</v>
      </c>
      <c r="F10" s="19" t="s">
        <v>70</v>
      </c>
      <c r="G10" s="19" t="s">
        <v>16</v>
      </c>
      <c r="H10" s="19" t="s">
        <v>111</v>
      </c>
      <c r="I10" s="20" t="s">
        <v>112</v>
      </c>
    </row>
    <row r="11" customFormat="false" ht="30" hidden="false" customHeight="true" outlineLevel="0" collapsed="false">
      <c r="B11" s="19" t="s">
        <v>54</v>
      </c>
      <c r="C11" s="20" t="s">
        <v>113</v>
      </c>
      <c r="D11" s="20" t="s">
        <v>114</v>
      </c>
      <c r="E11" s="19" t="s">
        <v>57</v>
      </c>
      <c r="F11" s="19" t="s">
        <v>44</v>
      </c>
      <c r="G11" s="19" t="s">
        <v>16</v>
      </c>
      <c r="H11" s="19" t="s">
        <v>115</v>
      </c>
      <c r="I11" s="20" t="s">
        <v>116</v>
      </c>
    </row>
    <row r="12" customFormat="false" ht="30" hidden="false" customHeight="true" outlineLevel="0" collapsed="false">
      <c r="B12" s="19" t="s">
        <v>60</v>
      </c>
      <c r="C12" s="20" t="s">
        <v>117</v>
      </c>
      <c r="D12" s="20" t="s">
        <v>118</v>
      </c>
      <c r="E12" s="19" t="s">
        <v>88</v>
      </c>
      <c r="F12" s="19" t="s">
        <v>44</v>
      </c>
      <c r="G12" s="19" t="s">
        <v>16</v>
      </c>
      <c r="H12" s="19" t="s">
        <v>115</v>
      </c>
      <c r="I12" s="20" t="s">
        <v>119</v>
      </c>
    </row>
    <row r="13" customFormat="false" ht="30" hidden="false" customHeight="true" outlineLevel="0" collapsed="false">
      <c r="B13" s="19" t="s">
        <v>67</v>
      </c>
      <c r="C13" s="20" t="s">
        <v>120</v>
      </c>
      <c r="D13" s="20" t="s">
        <v>121</v>
      </c>
      <c r="E13" s="19" t="s">
        <v>88</v>
      </c>
      <c r="F13" s="19" t="s">
        <v>44</v>
      </c>
      <c r="G13" s="19" t="s">
        <v>16</v>
      </c>
      <c r="H13" s="19" t="s">
        <v>115</v>
      </c>
      <c r="I13" s="20" t="s">
        <v>122</v>
      </c>
    </row>
    <row r="14" customFormat="false" ht="30" hidden="false" customHeight="true" outlineLevel="0" collapsed="false">
      <c r="B14" s="19" t="s">
        <v>73</v>
      </c>
      <c r="C14" s="20" t="s">
        <v>123</v>
      </c>
      <c r="D14" s="20" t="s">
        <v>124</v>
      </c>
      <c r="E14" s="19" t="s">
        <v>88</v>
      </c>
      <c r="F14" s="19" t="s">
        <v>70</v>
      </c>
      <c r="G14" s="19" t="s">
        <v>18</v>
      </c>
      <c r="H14" s="19" t="s">
        <v>115</v>
      </c>
      <c r="I14" s="20" t="s">
        <v>125</v>
      </c>
    </row>
    <row r="15" customFormat="false" ht="24" hidden="false" customHeight="true" outlineLevel="0" collapsed="false">
      <c r="B15" s="21"/>
      <c r="C15" s="22"/>
      <c r="D15" s="22"/>
      <c r="E15" s="21"/>
      <c r="F15" s="21"/>
      <c r="G15" s="21"/>
      <c r="H15" s="21"/>
      <c r="I15" s="22"/>
    </row>
    <row r="16" customFormat="false" ht="24" hidden="false" customHeight="true" outlineLevel="0" collapsed="false">
      <c r="B16" s="21"/>
      <c r="C16" s="22"/>
      <c r="D16" s="22"/>
      <c r="E16" s="21"/>
      <c r="F16" s="21"/>
      <c r="G16" s="21"/>
      <c r="H16" s="21"/>
      <c r="I16" s="22"/>
    </row>
    <row r="17" customFormat="false" ht="24" hidden="false" customHeight="true" outlineLevel="0" collapsed="false">
      <c r="B17" s="21"/>
      <c r="C17" s="22"/>
      <c r="D17" s="22"/>
      <c r="E17" s="21"/>
      <c r="F17" s="21"/>
      <c r="G17" s="21"/>
      <c r="H17" s="21"/>
      <c r="I17" s="22"/>
    </row>
    <row r="18" customFormat="false" ht="24" hidden="false" customHeight="true" outlineLevel="0" collapsed="false">
      <c r="B18" s="21"/>
      <c r="C18" s="22"/>
      <c r="D18" s="22"/>
      <c r="E18" s="21"/>
      <c r="F18" s="21"/>
      <c r="G18" s="21"/>
      <c r="H18" s="21"/>
      <c r="I18" s="22"/>
    </row>
    <row r="19" customFormat="false" ht="24" hidden="false" customHeight="true" outlineLevel="0" collapsed="false">
      <c r="B19" s="21"/>
      <c r="C19" s="22"/>
      <c r="D19" s="22"/>
      <c r="E19" s="21"/>
      <c r="F19" s="21"/>
      <c r="G19" s="21"/>
      <c r="H19" s="21"/>
      <c r="I19" s="22"/>
    </row>
    <row r="20" customFormat="false" ht="24" hidden="false" customHeight="true" outlineLevel="0" collapsed="false">
      <c r="B20" s="21"/>
      <c r="C20" s="22"/>
      <c r="D20" s="22"/>
      <c r="E20" s="21"/>
      <c r="F20" s="21"/>
      <c r="G20" s="21"/>
      <c r="H20" s="21"/>
      <c r="I20" s="22"/>
    </row>
    <row r="21" customFormat="false" ht="24" hidden="false" customHeight="true" outlineLevel="0" collapsed="false">
      <c r="B21" s="21"/>
      <c r="C21" s="22"/>
      <c r="D21" s="22"/>
      <c r="E21" s="21"/>
      <c r="F21" s="21"/>
      <c r="G21" s="21"/>
      <c r="H21" s="21"/>
      <c r="I21" s="22"/>
    </row>
    <row r="22" customFormat="false" ht="24" hidden="false" customHeight="true" outlineLevel="0" collapsed="false">
      <c r="B22" s="21"/>
      <c r="C22" s="22"/>
      <c r="D22" s="22"/>
      <c r="E22" s="21"/>
      <c r="F22" s="21"/>
      <c r="G22" s="21"/>
      <c r="H22" s="21"/>
      <c r="I22" s="22"/>
    </row>
    <row r="23" customFormat="false" ht="24" hidden="false" customHeight="true" outlineLevel="0" collapsed="false">
      <c r="B23" s="21"/>
      <c r="C23" s="22"/>
      <c r="D23" s="22"/>
      <c r="E23" s="21"/>
      <c r="F23" s="21"/>
      <c r="G23" s="21"/>
      <c r="H23" s="21"/>
      <c r="I23" s="22"/>
    </row>
    <row r="24" customFormat="false" ht="24" hidden="false" customHeight="true" outlineLevel="0" collapsed="false">
      <c r="B24" s="21"/>
      <c r="C24" s="22"/>
      <c r="D24" s="22"/>
      <c r="E24" s="21"/>
      <c r="F24" s="21"/>
      <c r="G24" s="21"/>
      <c r="H24" s="21"/>
      <c r="I24" s="22"/>
    </row>
    <row r="25" customFormat="false" ht="24" hidden="false" customHeight="true" outlineLevel="0" collapsed="false">
      <c r="B25" s="21"/>
      <c r="C25" s="22"/>
      <c r="D25" s="22"/>
      <c r="E25" s="21"/>
      <c r="F25" s="21"/>
      <c r="G25" s="21"/>
      <c r="H25" s="21"/>
      <c r="I25" s="22"/>
    </row>
    <row r="26" customFormat="false" ht="24" hidden="false" customHeight="true" outlineLevel="0" collapsed="false">
      <c r="B26" s="21"/>
      <c r="C26" s="22"/>
      <c r="D26" s="22"/>
      <c r="E26" s="21"/>
      <c r="F26" s="21"/>
      <c r="G26" s="21"/>
      <c r="H26" s="21"/>
      <c r="I26" s="22"/>
    </row>
    <row r="27" customFormat="false" ht="24" hidden="false" customHeight="true" outlineLevel="0" collapsed="false">
      <c r="B27" s="21"/>
      <c r="C27" s="22"/>
      <c r="D27" s="22"/>
      <c r="E27" s="21"/>
      <c r="F27" s="21"/>
      <c r="G27" s="21"/>
      <c r="H27" s="21"/>
      <c r="I27" s="22"/>
    </row>
    <row r="28" customFormat="false" ht="24" hidden="false" customHeight="true" outlineLevel="0" collapsed="false">
      <c r="B28" s="21"/>
      <c r="C28" s="22"/>
      <c r="D28" s="22"/>
      <c r="E28" s="21"/>
      <c r="F28" s="21"/>
      <c r="G28" s="21"/>
      <c r="H28" s="21"/>
      <c r="I28" s="22"/>
    </row>
    <row r="29" customFormat="false" ht="24" hidden="false" customHeight="true" outlineLevel="0" collapsed="false">
      <c r="B29" s="21"/>
      <c r="C29" s="22"/>
      <c r="D29" s="22"/>
      <c r="E29" s="21"/>
      <c r="F29" s="21"/>
      <c r="G29" s="21"/>
      <c r="H29" s="21"/>
      <c r="I29" s="22"/>
    </row>
  </sheetData>
  <mergeCells count="4">
    <mergeCell ref="B2:I2"/>
    <mergeCell ref="B3:I3"/>
    <mergeCell ref="B6:C6"/>
    <mergeCell ref="F6:I6"/>
  </mergeCells>
  <conditionalFormatting sqref="G9:G29">
    <cfRule type="expression" priority="2" aboveAverage="0" equalAverage="0" bottom="0" percent="0" rank="0" text="" dxfId="0">
      <formula>G9="✓ Bon état"</formula>
    </cfRule>
    <cfRule type="expression" priority="3" aboveAverage="0" equalAverage="0" bottom="0" percent="0" rank="0" text="" dxfId="1">
      <formula>G9="⚠ Vigilance"</formula>
    </cfRule>
    <cfRule type="expression" priority="4" aboveAverage="0" equalAverage="0" bottom="0" percent="0" rank="0" text="" dxfId="2">
      <formula>G9="🔧 Maintenance"</formula>
    </cfRule>
    <cfRule type="expression" priority="5" aboveAverage="0" equalAverage="0" bottom="0" percent="0" rank="0" text="" dxfId="3">
      <formula>G9="❌ Déclassé"</formula>
    </cfRule>
  </conditionalFormatting>
  <dataValidations count="1">
    <dataValidation allowBlank="true" errorStyle="stop" operator="between" showDropDown="false" showErrorMessage="false" showInputMessage="false" sqref="G15:G29" type="list">
      <formula1>"✓ Bon état,⚠ Vigilance,🔧 Maintenance,❌ Déclassé"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&amp;K888780M33 — Inventaire matériel équipements  ·  &amp;A  · 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4" t="s">
        <v>126</v>
      </c>
      <c r="C2" s="14"/>
      <c r="D2" s="14"/>
      <c r="E2" s="14"/>
      <c r="F2" s="14"/>
      <c r="G2" s="14"/>
      <c r="H2" s="14"/>
      <c r="I2" s="14"/>
    </row>
    <row r="3" customFormat="false" ht="19.5" hidden="false" customHeight="true" outlineLevel="0" collapsed="false">
      <c r="B3" s="15" t="s">
        <v>127</v>
      </c>
      <c r="C3" s="15"/>
      <c r="D3" s="15"/>
      <c r="E3" s="15"/>
      <c r="F3" s="15"/>
      <c r="G3" s="15"/>
      <c r="H3" s="15"/>
      <c r="I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24" hidden="false" customHeight="true" outlineLevel="0" collapsed="false">
      <c r="B6" s="16" t="s">
        <v>28</v>
      </c>
      <c r="C6" s="16"/>
      <c r="D6" s="17" t="s">
        <v>29</v>
      </c>
      <c r="E6" s="16" t="s">
        <v>30</v>
      </c>
      <c r="F6" s="17" t="s">
        <v>31</v>
      </c>
      <c r="G6" s="17"/>
      <c r="H6" s="17"/>
      <c r="I6" s="17"/>
    </row>
    <row r="8" customFormat="false" ht="30" hidden="false" customHeight="true" outlineLevel="0" collapsed="false">
      <c r="B8" s="18" t="s">
        <v>32</v>
      </c>
      <c r="C8" s="18" t="s">
        <v>33</v>
      </c>
      <c r="D8" s="18" t="s">
        <v>34</v>
      </c>
      <c r="E8" s="18" t="s">
        <v>35</v>
      </c>
      <c r="F8" s="18" t="s">
        <v>36</v>
      </c>
      <c r="G8" s="18" t="s">
        <v>37</v>
      </c>
      <c r="H8" s="18" t="s">
        <v>38</v>
      </c>
      <c r="I8" s="18" t="s">
        <v>39</v>
      </c>
    </row>
    <row r="9" customFormat="false" ht="30" hidden="false" customHeight="true" outlineLevel="0" collapsed="false">
      <c r="B9" s="19" t="s">
        <v>40</v>
      </c>
      <c r="C9" s="20" t="s">
        <v>128</v>
      </c>
      <c r="D9" s="20" t="s">
        <v>129</v>
      </c>
      <c r="E9" s="19" t="s">
        <v>130</v>
      </c>
      <c r="F9" s="19" t="s">
        <v>131</v>
      </c>
      <c r="G9" s="19" t="s">
        <v>16</v>
      </c>
      <c r="H9" s="19" t="s">
        <v>132</v>
      </c>
      <c r="I9" s="20" t="s">
        <v>133</v>
      </c>
    </row>
    <row r="10" customFormat="false" ht="30" hidden="false" customHeight="true" outlineLevel="0" collapsed="false">
      <c r="B10" s="19" t="s">
        <v>47</v>
      </c>
      <c r="C10" s="20" t="s">
        <v>134</v>
      </c>
      <c r="D10" s="20" t="s">
        <v>135</v>
      </c>
      <c r="E10" s="19" t="s">
        <v>98</v>
      </c>
      <c r="F10" s="19" t="s">
        <v>44</v>
      </c>
      <c r="G10" s="19" t="s">
        <v>16</v>
      </c>
      <c r="H10" s="19" t="s">
        <v>136</v>
      </c>
      <c r="I10" s="20" t="s">
        <v>137</v>
      </c>
    </row>
    <row r="11" customFormat="false" ht="30" hidden="false" customHeight="true" outlineLevel="0" collapsed="false">
      <c r="B11" s="19" t="s">
        <v>54</v>
      </c>
      <c r="C11" s="20" t="s">
        <v>138</v>
      </c>
      <c r="D11" s="20" t="s">
        <v>135</v>
      </c>
      <c r="E11" s="19" t="s">
        <v>139</v>
      </c>
      <c r="F11" s="19" t="s">
        <v>44</v>
      </c>
      <c r="G11" s="19" t="s">
        <v>16</v>
      </c>
      <c r="H11" s="19" t="s">
        <v>136</v>
      </c>
      <c r="I11" s="20" t="s">
        <v>140</v>
      </c>
    </row>
    <row r="12" customFormat="false" ht="30" hidden="false" customHeight="true" outlineLevel="0" collapsed="false">
      <c r="B12" s="19" t="s">
        <v>60</v>
      </c>
      <c r="C12" s="20" t="s">
        <v>141</v>
      </c>
      <c r="D12" s="20" t="s">
        <v>135</v>
      </c>
      <c r="E12" s="19" t="s">
        <v>142</v>
      </c>
      <c r="F12" s="19" t="s">
        <v>44</v>
      </c>
      <c r="G12" s="19" t="s">
        <v>16</v>
      </c>
      <c r="H12" s="19" t="s">
        <v>136</v>
      </c>
      <c r="I12" s="20" t="s">
        <v>143</v>
      </c>
    </row>
    <row r="13" customFormat="false" ht="30" hidden="false" customHeight="true" outlineLevel="0" collapsed="false">
      <c r="B13" s="19" t="s">
        <v>67</v>
      </c>
      <c r="C13" s="20" t="s">
        <v>144</v>
      </c>
      <c r="D13" s="20" t="s">
        <v>135</v>
      </c>
      <c r="E13" s="19" t="s">
        <v>130</v>
      </c>
      <c r="F13" s="19" t="s">
        <v>131</v>
      </c>
      <c r="G13" s="19" t="s">
        <v>18</v>
      </c>
      <c r="H13" s="19" t="s">
        <v>145</v>
      </c>
      <c r="I13" s="20" t="s">
        <v>146</v>
      </c>
    </row>
    <row r="14" customFormat="false" ht="24" hidden="false" customHeight="true" outlineLevel="0" collapsed="false">
      <c r="B14" s="21"/>
      <c r="C14" s="22"/>
      <c r="D14" s="22"/>
      <c r="E14" s="21"/>
      <c r="F14" s="21"/>
      <c r="G14" s="21"/>
      <c r="H14" s="21"/>
      <c r="I14" s="22"/>
    </row>
    <row r="15" customFormat="false" ht="24" hidden="false" customHeight="true" outlineLevel="0" collapsed="false">
      <c r="B15" s="21"/>
      <c r="C15" s="22"/>
      <c r="D15" s="22"/>
      <c r="E15" s="21"/>
      <c r="F15" s="21"/>
      <c r="G15" s="21"/>
      <c r="H15" s="21"/>
      <c r="I15" s="22"/>
    </row>
    <row r="16" customFormat="false" ht="24" hidden="false" customHeight="true" outlineLevel="0" collapsed="false">
      <c r="B16" s="21"/>
      <c r="C16" s="22"/>
      <c r="D16" s="22"/>
      <c r="E16" s="21"/>
      <c r="F16" s="21"/>
      <c r="G16" s="21"/>
      <c r="H16" s="21"/>
      <c r="I16" s="22"/>
    </row>
    <row r="17" customFormat="false" ht="24" hidden="false" customHeight="true" outlineLevel="0" collapsed="false">
      <c r="B17" s="21"/>
      <c r="C17" s="22"/>
      <c r="D17" s="22"/>
      <c r="E17" s="21"/>
      <c r="F17" s="21"/>
      <c r="G17" s="21"/>
      <c r="H17" s="21"/>
      <c r="I17" s="22"/>
    </row>
    <row r="18" customFormat="false" ht="24" hidden="false" customHeight="true" outlineLevel="0" collapsed="false">
      <c r="B18" s="21"/>
      <c r="C18" s="22"/>
      <c r="D18" s="22"/>
      <c r="E18" s="21"/>
      <c r="F18" s="21"/>
      <c r="G18" s="21"/>
      <c r="H18" s="21"/>
      <c r="I18" s="22"/>
    </row>
    <row r="19" customFormat="false" ht="24" hidden="false" customHeight="true" outlineLevel="0" collapsed="false">
      <c r="B19" s="21"/>
      <c r="C19" s="22"/>
      <c r="D19" s="22"/>
      <c r="E19" s="21"/>
      <c r="F19" s="21"/>
      <c r="G19" s="21"/>
      <c r="H19" s="21"/>
      <c r="I19" s="22"/>
    </row>
    <row r="20" customFormat="false" ht="24" hidden="false" customHeight="true" outlineLevel="0" collapsed="false">
      <c r="B20" s="21"/>
      <c r="C20" s="22"/>
      <c r="D20" s="22"/>
      <c r="E20" s="21"/>
      <c r="F20" s="21"/>
      <c r="G20" s="21"/>
      <c r="H20" s="21"/>
      <c r="I20" s="22"/>
    </row>
    <row r="21" customFormat="false" ht="24" hidden="false" customHeight="true" outlineLevel="0" collapsed="false">
      <c r="B21" s="21"/>
      <c r="C21" s="22"/>
      <c r="D21" s="22"/>
      <c r="E21" s="21"/>
      <c r="F21" s="21"/>
      <c r="G21" s="21"/>
      <c r="H21" s="21"/>
      <c r="I21" s="22"/>
    </row>
    <row r="22" customFormat="false" ht="24" hidden="false" customHeight="true" outlineLevel="0" collapsed="false">
      <c r="B22" s="21"/>
      <c r="C22" s="22"/>
      <c r="D22" s="22"/>
      <c r="E22" s="21"/>
      <c r="F22" s="21"/>
      <c r="G22" s="21"/>
      <c r="H22" s="21"/>
      <c r="I22" s="22"/>
    </row>
    <row r="23" customFormat="false" ht="24" hidden="false" customHeight="true" outlineLevel="0" collapsed="false">
      <c r="B23" s="21"/>
      <c r="C23" s="22"/>
      <c r="D23" s="22"/>
      <c r="E23" s="21"/>
      <c r="F23" s="21"/>
      <c r="G23" s="21"/>
      <c r="H23" s="21"/>
      <c r="I23" s="22"/>
    </row>
    <row r="24" customFormat="false" ht="24" hidden="false" customHeight="true" outlineLevel="0" collapsed="false">
      <c r="B24" s="21"/>
      <c r="C24" s="22"/>
      <c r="D24" s="22"/>
      <c r="E24" s="21"/>
      <c r="F24" s="21"/>
      <c r="G24" s="21"/>
      <c r="H24" s="21"/>
      <c r="I24" s="22"/>
    </row>
    <row r="25" customFormat="false" ht="24" hidden="false" customHeight="true" outlineLevel="0" collapsed="false">
      <c r="B25" s="21"/>
      <c r="C25" s="22"/>
      <c r="D25" s="22"/>
      <c r="E25" s="21"/>
      <c r="F25" s="21"/>
      <c r="G25" s="21"/>
      <c r="H25" s="21"/>
      <c r="I25" s="22"/>
    </row>
    <row r="26" customFormat="false" ht="24" hidden="false" customHeight="true" outlineLevel="0" collapsed="false">
      <c r="B26" s="21"/>
      <c r="C26" s="22"/>
      <c r="D26" s="22"/>
      <c r="E26" s="21"/>
      <c r="F26" s="21"/>
      <c r="G26" s="21"/>
      <c r="H26" s="21"/>
      <c r="I26" s="22"/>
    </row>
    <row r="27" customFormat="false" ht="24" hidden="false" customHeight="true" outlineLevel="0" collapsed="false">
      <c r="B27" s="21"/>
      <c r="C27" s="22"/>
      <c r="D27" s="22"/>
      <c r="E27" s="21"/>
      <c r="F27" s="21"/>
      <c r="G27" s="21"/>
      <c r="H27" s="21"/>
      <c r="I27" s="22"/>
    </row>
    <row r="28" customFormat="false" ht="24" hidden="false" customHeight="true" outlineLevel="0" collapsed="false">
      <c r="B28" s="21"/>
      <c r="C28" s="22"/>
      <c r="D28" s="22"/>
      <c r="E28" s="21"/>
      <c r="F28" s="21"/>
      <c r="G28" s="21"/>
      <c r="H28" s="21"/>
      <c r="I28" s="22"/>
    </row>
  </sheetData>
  <mergeCells count="4">
    <mergeCell ref="B2:I2"/>
    <mergeCell ref="B3:I3"/>
    <mergeCell ref="B6:C6"/>
    <mergeCell ref="F6:I6"/>
  </mergeCells>
  <conditionalFormatting sqref="G9:G28">
    <cfRule type="expression" priority="2" aboveAverage="0" equalAverage="0" bottom="0" percent="0" rank="0" text="" dxfId="0">
      <formula>G9="✓ Bon état"</formula>
    </cfRule>
    <cfRule type="expression" priority="3" aboveAverage="0" equalAverage="0" bottom="0" percent="0" rank="0" text="" dxfId="1">
      <formula>G9="⚠ Vigilance"</formula>
    </cfRule>
    <cfRule type="expression" priority="4" aboveAverage="0" equalAverage="0" bottom="0" percent="0" rank="0" text="" dxfId="2">
      <formula>G9="🔧 Maintenance"</formula>
    </cfRule>
    <cfRule type="expression" priority="5" aboveAverage="0" equalAverage="0" bottom="0" percent="0" rank="0" text="" dxfId="3">
      <formula>G9="❌ Déclassé"</formula>
    </cfRule>
  </conditionalFormatting>
  <dataValidations count="1">
    <dataValidation allowBlank="true" errorStyle="stop" operator="between" showDropDown="false" showErrorMessage="false" showInputMessage="false" sqref="G14:G28" type="list">
      <formula1>"✓ Bon état,⚠ Vigilance,🔧 Maintenance,❌ Déclassé"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&amp;K888780M33 — Inventaire matériel équipements  ·  &amp;A  · 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2"/>
  </cols>
  <sheetData>
    <row r="2" customFormat="false" ht="30" hidden="false" customHeight="true" outlineLevel="0" collapsed="false">
      <c r="B2" s="14" t="s">
        <v>147</v>
      </c>
      <c r="C2" s="14"/>
      <c r="D2" s="14"/>
      <c r="E2" s="14"/>
      <c r="F2" s="14"/>
    </row>
    <row r="3" customFormat="false" ht="19.5" hidden="false" customHeight="true" outlineLevel="0" collapsed="false">
      <c r="B3" s="15" t="s">
        <v>148</v>
      </c>
      <c r="C3" s="15"/>
      <c r="D3" s="15"/>
      <c r="E3" s="15"/>
      <c r="F3" s="15"/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30" hidden="false" customHeight="true" outlineLevel="0" collapsed="false">
      <c r="B6" s="18" t="s">
        <v>149</v>
      </c>
      <c r="C6" s="18" t="s">
        <v>150</v>
      </c>
      <c r="D6" s="18" t="s">
        <v>16</v>
      </c>
      <c r="E6" s="18" t="s">
        <v>18</v>
      </c>
      <c r="F6" s="18" t="s">
        <v>20</v>
      </c>
    </row>
    <row r="7" customFormat="false" ht="27.75" hidden="false" customHeight="true" outlineLevel="0" collapsed="false">
      <c r="B7" s="23" t="s">
        <v>151</v>
      </c>
      <c r="C7" s="24" t="n">
        <f aca="false">COUNTA('🖥 Matériel info'!C9:C40)</f>
        <v>6</v>
      </c>
      <c r="D7" s="24" t="n">
        <f aca="false">COUNTIF('🖥 Matériel info'!G9:G40,"✓ Bon état")</f>
        <v>5</v>
      </c>
      <c r="E7" s="24" t="n">
        <f aca="false">COUNTIF('🖥 Matériel info'!G9:G40,"⚠ Vigilance")</f>
        <v>1</v>
      </c>
      <c r="F7" s="24" t="n">
        <f aca="false">COUNTIF('🖥 Matériel info'!G9:G40,"🔧 Maintenance")</f>
        <v>0</v>
      </c>
    </row>
    <row r="8" customFormat="false" ht="27.75" hidden="false" customHeight="true" outlineLevel="0" collapsed="false">
      <c r="B8" s="23" t="s">
        <v>152</v>
      </c>
      <c r="C8" s="24" t="n">
        <f aca="false">COUNTA('🎓 Matériel pédago'!C9:C40)</f>
        <v>5</v>
      </c>
      <c r="D8" s="24" t="n">
        <f aca="false">COUNTIF('🎓 Matériel pédago'!G9:G40,"✓ Bon état")</f>
        <v>5</v>
      </c>
      <c r="E8" s="24" t="n">
        <f aca="false">COUNTIF('🎓 Matériel pédago'!G9:G40,"⚠ Vigilance")</f>
        <v>0</v>
      </c>
      <c r="F8" s="24" t="n">
        <f aca="false">COUNTIF('🎓 Matériel pédago'!G9:G40,"🔧 Maintenance")</f>
        <v>0</v>
      </c>
    </row>
    <row r="9" customFormat="false" ht="27.75" hidden="false" customHeight="true" outlineLevel="0" collapsed="false">
      <c r="B9" s="23" t="s">
        <v>9</v>
      </c>
      <c r="C9" s="24" t="n">
        <f aca="false">COUNTA('📺 Studio distanciel'!C9:C40)</f>
        <v>6</v>
      </c>
      <c r="D9" s="24" t="n">
        <f aca="false">COUNTIF('📺 Studio distanciel'!G9:G40,"✓ Bon état")</f>
        <v>5</v>
      </c>
      <c r="E9" s="24" t="n">
        <f aca="false">COUNTIF('📺 Studio distanciel'!G9:G40,"⚠ Vigilance")</f>
        <v>1</v>
      </c>
      <c r="F9" s="24" t="n">
        <f aca="false">COUNTIF('📺 Studio distanciel'!G9:G40,"🔧 Maintenance")</f>
        <v>0</v>
      </c>
    </row>
    <row r="10" customFormat="false" ht="27.75" hidden="false" customHeight="true" outlineLevel="0" collapsed="false">
      <c r="B10" s="23" t="s">
        <v>153</v>
      </c>
      <c r="C10" s="24" t="n">
        <f aca="false">COUNTA('🛠 Équipements CFA'!C9:C40)</f>
        <v>5</v>
      </c>
      <c r="D10" s="24" t="n">
        <f aca="false">COUNTIF('🛠 Équipements CFA'!G9:G40,"✓ Bon état")</f>
        <v>4</v>
      </c>
      <c r="E10" s="24" t="n">
        <f aca="false">COUNTIF('🛠 Équipements CFA'!G9:G40,"⚠ Vigilance")</f>
        <v>1</v>
      </c>
      <c r="F10" s="24" t="n">
        <f aca="false">COUNTIF('🛠 Équipements CFA'!G9:G40,"🔧 Maintenance")</f>
        <v>0</v>
      </c>
    </row>
    <row r="11" customFormat="false" ht="30" hidden="false" customHeight="true" outlineLevel="0" collapsed="false">
      <c r="B11" s="25" t="s">
        <v>154</v>
      </c>
      <c r="C11" s="26" t="n">
        <f aca="false">SUM(C7:C10)</f>
        <v>22</v>
      </c>
      <c r="D11" s="26" t="n">
        <f aca="false">SUM(D7:D10)</f>
        <v>19</v>
      </c>
      <c r="E11" s="26" t="n">
        <f aca="false">SUM(E7:E10)</f>
        <v>3</v>
      </c>
      <c r="F11" s="26" t="n">
        <f aca="false">SUM(F7:F10)</f>
        <v>0</v>
      </c>
    </row>
    <row r="13" customFormat="false" ht="25.5" hidden="false" customHeight="true" outlineLevel="0" collapsed="false">
      <c r="B13" s="27" t="s">
        <v>155</v>
      </c>
      <c r="C13" s="27"/>
      <c r="D13" s="27"/>
      <c r="E13" s="27"/>
      <c r="F13" s="27"/>
    </row>
    <row r="14" customFormat="false" ht="27.75" hidden="false" customHeight="true" outlineLevel="0" collapsed="false">
      <c r="B14" s="16" t="s">
        <v>156</v>
      </c>
      <c r="C14" s="16"/>
      <c r="D14" s="16"/>
      <c r="E14" s="16"/>
      <c r="F14" s="28" t="n">
        <f aca="false">IFERROR(D11/C11,0)</f>
        <v>0.863636363636364</v>
      </c>
    </row>
    <row r="15" customFormat="false" ht="27.75" hidden="false" customHeight="true" outlineLevel="0" collapsed="false">
      <c r="B15" s="16" t="s">
        <v>157</v>
      </c>
      <c r="C15" s="16"/>
      <c r="D15" s="16"/>
      <c r="E15" s="16"/>
      <c r="F15" s="29" t="n">
        <f aca="false">E11+F11</f>
        <v>3</v>
      </c>
    </row>
    <row r="17" customFormat="false" ht="49.5" hidden="false" customHeight="true" outlineLevel="0" collapsed="false">
      <c r="B17" s="12" t="s">
        <v>158</v>
      </c>
      <c r="C17" s="13" t="s">
        <v>159</v>
      </c>
      <c r="D17" s="13"/>
      <c r="E17" s="13"/>
      <c r="F17" s="13"/>
    </row>
  </sheetData>
  <mergeCells count="6">
    <mergeCell ref="B2:F2"/>
    <mergeCell ref="B3:F3"/>
    <mergeCell ref="B13:F13"/>
    <mergeCell ref="B14:E14"/>
    <mergeCell ref="B15:E15"/>
    <mergeCell ref="C17:F17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&amp;K888780M33 — Inventaire matériel équipements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2026-05-14T18:05:44Z</dcterms:created>
  <dc:creator>openpyxl</dc:creator>
  <dc:description/>
  <dc:language>en-US</dc:language>
  <cp:lastModifiedBy/>
  <dcterms:modified xsi:type="dcterms:W3CDTF">2026-05-14T18:05:44Z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