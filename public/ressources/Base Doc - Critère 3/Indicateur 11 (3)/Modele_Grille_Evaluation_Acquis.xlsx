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📚 Référentiel" sheetId="2" state="visible" r:id="rId4"/>
    <sheet name="📝 Évaluation individuelle" sheetId="3" state="visible" r:id="rId5"/>
    <sheet name="📊 Synthèse multi-béné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<sst xmlns="http://schemas.openxmlformats.org/spreadsheetml/2006/main" count="159" uniqueCount="139">
  <si>
    <t xml:space="preserve">GRILLE D'ÉVALUATION DES ACQUIS</t>
  </si>
  <si>
    <t xml:space="preserve">Modèle M29 — Évaluation Bloc/Compétence/Indicateur — 4 niveaux de maîtrise — Calcul auto du taux d'atteinte — Ind. 11 (Majeure)</t>
  </si>
  <si>
    <t xml:space="preserve">À QUOI SERT CE DOCUMENT</t>
  </si>
  <si>
    <t xml:space="preserve">Cette grille est l'outil central de l'Indicateur 11 (Majeure). Elle permet de tracer pour chaque bénéficiaire le niveau d'atteinte de chaque compétence et indicateur du référentiel, sur une échelle à 4 niveaux. Le calcul automatique produit un taux d'atteinte par bloc et global qui alimente l'attestation de fin de formation (M31) et le PV de jury (M30) pour les actions certifiantes.</t>
  </si>
  <si>
    <t xml:space="preserve">STRUCTURE DU CLASSEUR</t>
  </si>
  <si>
    <t xml:space="preserve">📚 Référentiel</t>
  </si>
  <si>
    <t xml:space="preserve">Saisie du référentiel de la formation : blocs de compétences, compétences, indicateurs avec leurs critères. Source unique pour les autres feuilles.</t>
  </si>
  <si>
    <t xml:space="preserve">📝 Évaluation individuelle</t>
  </si>
  <si>
    <t xml:space="preserve">Évaluer un bénéficiaire — 1 niveau par indicateur — observations qualitatives. Calcul auto du taux par bloc et global.</t>
  </si>
  <si>
    <t xml:space="preserve">📊 Synthèse multi-bénéficiaires</t>
  </si>
  <si>
    <t xml:space="preserve">Vue d'ensemble du groupe — taux par bénéficiaire et par bloc — détection des points faibles collectifs.</t>
  </si>
  <si>
    <t xml:space="preserve">🎯 Synthèse globale</t>
  </si>
  <si>
    <t xml:space="preserve">Tableau de bord de la session : taux moyen global, taux de réussite, blocs à renforcer.</t>
  </si>
  <si>
    <t xml:space="preserve">ÉCHELLE DES NIVEAUX DE MAÎTRISE</t>
  </si>
  <si>
    <t xml:space="preserve">0 — Non acquis</t>
  </si>
  <si>
    <t xml:space="preserve">Le bénéficiaire n'a pas atteint le niveau attendu — reprise nécessaire</t>
  </si>
  <si>
    <t xml:space="preserve">1 — En cours d'acquisition</t>
  </si>
  <si>
    <t xml:space="preserve">Le bénéficiaire progresse mais reste partiellement compétent — consolidation requise</t>
  </si>
  <si>
    <t xml:space="preserve">2 — Acquis</t>
  </si>
  <si>
    <t xml:space="preserve">Le bénéficiaire maîtrise la compétence dans le cadre attendu — niveau de certification atteint</t>
  </si>
  <si>
    <t xml:space="preserve">3 — Maîtrisé / Expert</t>
  </si>
  <si>
    <t xml:space="preserve">Le bénéficiaire dépasse le niveau attendu — autonomie complète + capacité de transfert</t>
  </si>
  <si>
    <t xml:space="preserve">INTERPRÉTATION DES TAUX D'ATTEINTE</t>
  </si>
  <si>
    <t xml:space="preserve">≥ 80%</t>
  </si>
  <si>
    <t xml:space="preserve">Très bon — proposition de mention pour les actions certifiantes</t>
  </si>
  <si>
    <t xml:space="preserve">66% - 79%</t>
  </si>
  <si>
    <t xml:space="preserve">Acquis — niveau de certification atteint</t>
  </si>
  <si>
    <t xml:space="preserve">50% - 65%</t>
  </si>
  <si>
    <t xml:space="preserve">Partiellement acquis — préconisations + bilan individuel</t>
  </si>
  <si>
    <t xml:space="preserve">&lt; 50%</t>
  </si>
  <si>
    <t xml:space="preserve">Non acquis — non-validation — reprise ou nouvelle session</t>
  </si>
  <si>
    <t xml:space="preserve">💡 Ind. 11 (Majeure)</t>
  </si>
  <si>
    <t xml:space="preserve">L'évaluation des acquis est une Majeure. L'audit vérifie : (1) la grille existe et est utilisée pour chaque bénéficiaire, (2) elle s'aligne avec les objectifs/référentiel publiés, (3) les seuils de validation sont définis et appliqués de manière constante. Conserver les grilles complétées 4 ans minimum (10 ans recommandés).</t>
  </si>
  <si>
    <t xml:space="preserve">📚 RÉFÉRENTIEL DE LA FORMATION</t>
  </si>
  <si>
    <t xml:space="preserve">Saisie des blocs, compétences et indicateurs — source unique pour les évaluations</t>
  </si>
  <si>
    <t xml:space="preserve">Intitulé :</t>
  </si>
  <si>
    <t xml:space="preserve">[ Intitulé exact tel qu'au programme M5 ]</t>
  </si>
  <si>
    <t xml:space="preserve">Certif. visée :</t>
  </si>
  <si>
    <t xml:space="preserve">[ RNCP XXXXX / RS XXXX / Non certifiante ]</t>
  </si>
  <si>
    <t xml:space="preserve">Code</t>
  </si>
  <si>
    <t xml:space="preserve">Bloc de compétences</t>
  </si>
  <si>
    <t xml:space="preserve">Compétence</t>
  </si>
  <si>
    <t xml:space="preserve">Indicateur / Critère d'évaluation</t>
  </si>
  <si>
    <t xml:space="preserve">Modalité</t>
  </si>
  <si>
    <t xml:space="preserve">BC01-C01-I01</t>
  </si>
  <si>
    <t xml:space="preserve">BC01 - Idéation projet</t>
  </si>
  <si>
    <t xml:space="preserve">C01 - Identifier opportunités</t>
  </si>
  <si>
    <t xml:space="preserve">I01 - Réalise une analyse SWOT structurée</t>
  </si>
  <si>
    <t xml:space="preserve">Étude de cas</t>
  </si>
  <si>
    <t xml:space="preserve">BC01-C01-I02</t>
  </si>
  <si>
    <t xml:space="preserve">I02 - Cible 3 segments potentiels argumentés</t>
  </si>
  <si>
    <t xml:space="preserve">BC01-C02-I03</t>
  </si>
  <si>
    <t xml:space="preserve">C02 - Construire BMC</t>
  </si>
  <si>
    <t xml:space="preserve">I03 - BMC complet et cohérent (9 blocs)</t>
  </si>
  <si>
    <t xml:space="preserve">Production écrite</t>
  </si>
  <si>
    <t xml:space="preserve">BC02-C03-I04</t>
  </si>
  <si>
    <t xml:space="preserve">BC02 - Étude marché</t>
  </si>
  <si>
    <t xml:space="preserve">C03 - Analyser concurrence</t>
  </si>
  <si>
    <t xml:space="preserve">I04 - Veille concurrentielle ≥ 5 acteurs</t>
  </si>
  <si>
    <t xml:space="preserve">BC02-C03-I05</t>
  </si>
  <si>
    <t xml:space="preserve">I05 - Positionnement stratégique justifié</t>
  </si>
  <si>
    <t xml:space="preserve">Soutenance</t>
  </si>
  <si>
    <t xml:space="preserve">BC02-C04-I06</t>
  </si>
  <si>
    <t xml:space="preserve">C04 - Étudier clients</t>
  </si>
  <si>
    <t xml:space="preserve">I06 - Réalise ≥ 5 interviews clients</t>
  </si>
  <si>
    <t xml:space="preserve">Mise en situation</t>
  </si>
  <si>
    <t xml:space="preserve">BC03-C05-I07</t>
  </si>
  <si>
    <t xml:space="preserve">BC03 - Pilotage économique</t>
  </si>
  <si>
    <t xml:space="preserve">C05 - Construire prévi.</t>
  </si>
  <si>
    <t xml:space="preserve">I07 - Plan de trésorerie 12 mois cohérent</t>
  </si>
  <si>
    <t xml:space="preserve">Cas pratique</t>
  </si>
  <si>
    <t xml:space="preserve">BC03-C05-I08</t>
  </si>
  <si>
    <t xml:space="preserve">I08 - Justifie hypothèses commerciales</t>
  </si>
  <si>
    <t xml:space="preserve">BC03-C06-I09</t>
  </si>
  <si>
    <t xml:space="preserve">C06 - Suivre indicateurs</t>
  </si>
  <si>
    <t xml:space="preserve">I09 - Tableau de bord ≥ 5 KPI pertinents</t>
  </si>
  <si>
    <t xml:space="preserve">BC04-C07-I10</t>
  </si>
  <si>
    <t xml:space="preserve">BC04 - Lancement</t>
  </si>
  <si>
    <t xml:space="preserve">C07 - Pitcher projet</t>
  </si>
  <si>
    <t xml:space="preserve">I10 - Pitch 3 min — clair, structuré, convaincant</t>
  </si>
  <si>
    <t xml:space="preserve">Oral devant jury</t>
  </si>
  <si>
    <t xml:space="preserve">💡 Astuce</t>
  </si>
  <si>
    <t xml:space="preserve">Le référentiel doit être strictement aligné sur la fiche RNCP/RS pour les actions certifiantes. Pour les actions non certifiantes, alignement sur les objectifs publiés dans le programme M5. Cette feuille alimente automatiquement l'évaluation individuelle.</t>
  </si>
  <si>
    <t xml:space="preserve">📝 ÉVALUATION INDIVIDUELLE — UN BÉNÉFICIAIRE</t>
  </si>
  <si>
    <t xml:space="preserve">Saisir le niveau (0 à 3) pour chaque indicateur — observations qualitatives en commentaire</t>
  </si>
  <si>
    <t xml:space="preserve">Bénéficiaire :</t>
  </si>
  <si>
    <t xml:space="preserve">[ Madame / Monsieur PRÉNOM NOM ]</t>
  </si>
  <si>
    <t xml:space="preserve">Date évaluation :</t>
  </si>
  <si>
    <t xml:space="preserve">[ JJ / MM / AAAA ]</t>
  </si>
  <si>
    <t xml:space="preserve">Évaluateur :</t>
  </si>
  <si>
    <t xml:space="preserve">[ Prénom NOM ]</t>
  </si>
  <si>
    <t xml:space="preserve">Bloc</t>
  </si>
  <si>
    <t xml:space="preserve">Indicateur</t>
  </si>
  <si>
    <t xml:space="preserve">Niveau (0-3)</t>
  </si>
  <si>
    <t xml:space="preserve">Observations / preuve</t>
  </si>
  <si>
    <t xml:space="preserve">Excellente SWOT — analyse fine</t>
  </si>
  <si>
    <t xml:space="preserve">3 segments identifiés, justification correcte</t>
  </si>
  <si>
    <t xml:space="preserve">BMC complet — manque cohérence ressources/coûts</t>
  </si>
  <si>
    <t xml:space="preserve">SYNTHÈSE PAR BLOC DE COMPÉTENCES</t>
  </si>
  <si>
    <t xml:space="preserve">Nb indicateurs</t>
  </si>
  <si>
    <t xml:space="preserve">Nb évalués</t>
  </si>
  <si>
    <t xml:space="preserve">Score moyen / 3</t>
  </si>
  <si>
    <t xml:space="preserve">Taux d'atteinte</t>
  </si>
  <si>
    <t xml:space="preserve">Niveau global</t>
  </si>
  <si>
    <t xml:space="preserve">TOTAL — TAUX D'ATTEINTE GLOBAL</t>
  </si>
  <si>
    <t xml:space="preserve">BILAN QUALITATIF &amp; PRÉCONISATIONS</t>
  </si>
  <si>
    <t xml:space="preserve">Compétences acquises (points forts)</t>
  </si>
  <si>
    <t xml:space="preserve">[ Lister les compétences validées au niveau 2 ou 3 ]</t>
  </si>
  <si>
    <t xml:space="preserve">Compétences en cours / à consolider</t>
  </si>
  <si>
    <t xml:space="preserve">[ Lister les compétences au niveau 1 et préconisations ]</t>
  </si>
  <si>
    <t xml:space="preserve">Compétences non acquises</t>
  </si>
  <si>
    <t xml:space="preserve">[ Lister les compétences au niveau 0 et plan d'action ]</t>
  </si>
  <si>
    <t xml:space="preserve">Préconisations post-formation</t>
  </si>
  <si>
    <t xml:space="preserve">[ Coaching · module complémentaire · ressources · etc. ]</t>
  </si>
  <si>
    <t xml:space="preserve">📊 SYNTHÈSE PAR BÉNÉFICIAIRE — VUE D'ENSEMBLE</t>
  </si>
  <si>
    <t xml:space="preserve">Tableau de bord du groupe — taux par bénéficiaire et par bloc — détection des blocs collectivement faibles</t>
  </si>
  <si>
    <t xml:space="preserve">📋 Cette feuille s'utilise en consolidation après que chaque évaluation individuelle a été saisie sur une copie distincte du fichier (un fichier par bénéficiaire) puis recopiée ici manuellement ou par lien.</t>
  </si>
  <si>
    <t xml:space="preserve">N°</t>
  </si>
  <si>
    <t xml:space="preserve">Bénéficiaire</t>
  </si>
  <si>
    <t xml:space="preserve">BC01</t>
  </si>
  <si>
    <t xml:space="preserve">BC02</t>
  </si>
  <si>
    <t xml:space="preserve">BC03</t>
  </si>
  <si>
    <t xml:space="preserve">BC04</t>
  </si>
  <si>
    <t xml:space="preserve">BC05</t>
  </si>
  <si>
    <t xml:space="preserve">Taux global</t>
  </si>
  <si>
    <t xml:space="preserve">Décision</t>
  </si>
  <si>
    <t xml:space="preserve">01</t>
  </si>
  <si>
    <t xml:space="preserve">Marie DUPONT</t>
  </si>
  <si>
    <t xml:space="preserve">02</t>
  </si>
  <si>
    <t xml:space="preserve">Karim MARTIN</t>
  </si>
  <si>
    <t xml:space="preserve">03</t>
  </si>
  <si>
    <t xml:space="preserve">Sophie BERNARD</t>
  </si>
  <si>
    <t xml:space="preserve">04</t>
  </si>
  <si>
    <t xml:space="preserve">Thomas LEROY</t>
  </si>
  <si>
    <t xml:space="preserve">MOYENNE</t>
  </si>
  <si>
    <t xml:space="preserve">🎯 INDICATEURS DE PILOTAGE</t>
  </si>
  <si>
    <t xml:space="preserve">Bénéficiaires évalués</t>
  </si>
  <si>
    <t xml:space="preserve">Taux de réussite (Admis + Mention)</t>
  </si>
  <si>
    <t xml:space="preserve">Bloc le plus faible (moyenne la plus basse)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</si>
</sst>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F5E5A"/>
      <name val="Arial"/>
      <family val="0"/>
      <charset val="1"/>
    </font>
    <font>
      <b val="true"/>
      <i val="true"/>
      <sz val="12"/>
      <color rgb="FF888780"/>
      <name val="Arial"/>
      <family val="0"/>
      <charset val="1"/>
    </font>
    <font>
      <b val="true"/>
      <sz val="12"/>
      <color rgb="FF0F2A47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1"/>
      <color rgb="FF0F2A4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2"/>
      <color rgb="FFD85A30"/>
      <name val="Arial"/>
      <family val="0"/>
      <charset val="1"/>
    </font>
    <font>
      <b val="true"/>
      <sz val="11"/>
      <color rgb="FF8B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5C7C0"/>
        <bgColor rgb="FFF7DCB8"/>
      </patternFill>
    </fill>
    <fill>
      <patternFill patternType="solid">
        <fgColor rgb="FFF7DCB8"/>
        <bgColor rgb="FFF5C7C0"/>
      </patternFill>
    </fill>
    <fill>
      <patternFill patternType="solid">
        <fgColor rgb="FFD8EBC2"/>
        <bgColor rgb="FFF1EFE8"/>
      </patternFill>
    </fill>
    <fill>
      <patternFill patternType="solid">
        <fgColor rgb="FFC9DEF0"/>
        <bgColor rgb="FFD3D1C7"/>
      </patternFill>
    </fill>
    <fill>
      <patternFill patternType="solid">
        <fgColor rgb="FFFAEEDA"/>
        <bgColor rgb="FFF1EFE8"/>
      </patternFill>
    </fill>
    <fill>
      <patternFill patternType="solid">
        <fgColor rgb="FFF1EFE8"/>
        <bgColor rgb="FFFAEEDA"/>
      </patternFill>
    </fill>
    <fill>
      <patternFill patternType="solid">
        <fgColor rgb="FF0F2A47"/>
        <bgColor rgb="FF2C2C2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8B0000"/>
        <sz val="12"/>
      </font>
      <fill>
        <patternFill>
          <bgColor rgb="FFF5C7C0"/>
        </patternFill>
      </fill>
    </dxf>
    <dxf>
      <font>
        <name val="Arial"/>
        <charset val="1"/>
        <family val="0"/>
        <b val="1"/>
        <color rgb="FF8B4513"/>
        <sz val="12"/>
      </font>
      <fill>
        <patternFill>
          <bgColor rgb="FFF7DCB8"/>
        </patternFill>
      </fill>
    </dxf>
    <dxf>
      <font>
        <name val="Arial"/>
        <charset val="1"/>
        <family val="0"/>
        <b val="1"/>
        <color rgb="FF2C5C1E"/>
        <sz val="12"/>
      </font>
      <fill>
        <patternFill>
          <bgColor rgb="FFD8EBC2"/>
        </patternFill>
      </fill>
    </dxf>
    <dxf>
      <font>
        <name val="Arial"/>
        <charset val="1"/>
        <family val="0"/>
        <b val="1"/>
        <color rgb="FF1A4870"/>
        <sz val="12"/>
      </font>
      <fill>
        <patternFill>
          <bgColor rgb="FFC9DEF0"/>
        </patternFill>
      </fill>
    </dxf>
    <dxf>
      <fill>
        <patternFill>
          <bgColor rgb="FFC9DEF0"/>
        </patternFill>
      </fill>
    </dxf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C9DE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D8EBC2"/>
      <rgbColor rgb="FFF7DCB8"/>
      <rgbColor rgb="FFFBFAF6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2C5C1E"/>
      <rgbColor rgb="FF8B4513"/>
      <rgbColor rgb="FF993366"/>
      <rgbColor rgb="FF1A4870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31.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90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42" hidden="false" customHeight="true" outlineLevel="0" collapsed="false">
      <c r="B10" s="6" t="s">
        <v>5</v>
      </c>
      <c r="C10" s="7" t="s">
        <v>6</v>
      </c>
    </row>
    <row r="11" customFormat="false" ht="42" hidden="false" customHeight="true" outlineLevel="0" collapsed="false">
      <c r="B11" s="6" t="s">
        <v>7</v>
      </c>
      <c r="C11" s="7" t="s">
        <v>8</v>
      </c>
    </row>
    <row r="12" customFormat="false" ht="42" hidden="false" customHeight="true" outlineLevel="0" collapsed="false">
      <c r="B12" s="6" t="s">
        <v>9</v>
      </c>
      <c r="C12" s="7" t="s">
        <v>10</v>
      </c>
    </row>
    <row r="13" customFormat="false" ht="42" hidden="false" customHeight="true" outlineLevel="0" collapsed="false">
      <c r="B13" s="6" t="s">
        <v>11</v>
      </c>
      <c r="C13" s="7" t="s">
        <v>12</v>
      </c>
    </row>
    <row r="15" customFormat="false" ht="21.75" hidden="false" customHeight="true" outlineLevel="0" collapsed="false">
      <c r="B15" s="4" t="s">
        <v>13</v>
      </c>
      <c r="C15" s="4"/>
    </row>
    <row r="16" customFormat="false" ht="31.5" hidden="false" customHeight="true" outlineLevel="0" collapsed="false">
      <c r="B16" s="8" t="s">
        <v>14</v>
      </c>
      <c r="C16" s="7" t="s">
        <v>15</v>
      </c>
    </row>
    <row r="17" customFormat="false" ht="31.5" hidden="false" customHeight="true" outlineLevel="0" collapsed="false">
      <c r="B17" s="9" t="s">
        <v>16</v>
      </c>
      <c r="C17" s="7" t="s">
        <v>17</v>
      </c>
    </row>
    <row r="18" customFormat="false" ht="31.5" hidden="false" customHeight="true" outlineLevel="0" collapsed="false">
      <c r="B18" s="10" t="s">
        <v>18</v>
      </c>
      <c r="C18" s="7" t="s">
        <v>19</v>
      </c>
    </row>
    <row r="19" customFormat="false" ht="31.5" hidden="false" customHeight="true" outlineLevel="0" collapsed="false">
      <c r="B19" s="11" t="s">
        <v>20</v>
      </c>
      <c r="C19" s="7" t="s">
        <v>21</v>
      </c>
    </row>
    <row r="21" customFormat="false" ht="21.75" hidden="false" customHeight="true" outlineLevel="0" collapsed="false">
      <c r="B21" s="4" t="s">
        <v>22</v>
      </c>
      <c r="C21" s="4"/>
    </row>
    <row r="22" customFormat="false" ht="27.75" hidden="false" customHeight="true" outlineLevel="0" collapsed="false">
      <c r="B22" s="12" t="s">
        <v>23</v>
      </c>
      <c r="C22" s="7" t="s">
        <v>24</v>
      </c>
    </row>
    <row r="23" customFormat="false" ht="27.75" hidden="false" customHeight="true" outlineLevel="0" collapsed="false">
      <c r="B23" s="13" t="s">
        <v>25</v>
      </c>
      <c r="C23" s="7" t="s">
        <v>26</v>
      </c>
    </row>
    <row r="24" customFormat="false" ht="27.75" hidden="false" customHeight="true" outlineLevel="0" collapsed="false">
      <c r="B24" s="14" t="s">
        <v>27</v>
      </c>
      <c r="C24" s="7" t="s">
        <v>28</v>
      </c>
    </row>
    <row r="25" customFormat="false" ht="27.75" hidden="false" customHeight="true" outlineLevel="0" collapsed="false">
      <c r="B25" s="15" t="s">
        <v>29</v>
      </c>
      <c r="C25" s="7" t="s">
        <v>30</v>
      </c>
    </row>
    <row r="27" customFormat="false" ht="79.5" hidden="false" customHeight="true" outlineLevel="0" collapsed="false">
      <c r="B27" s="16" t="s">
        <v>31</v>
      </c>
      <c r="C27" s="17" t="s">
        <v>32</v>
      </c>
    </row>
  </sheetData>
  <mergeCells count="6">
    <mergeCell ref="B2:C2"/>
    <mergeCell ref="B3:C3"/>
    <mergeCell ref="B6:C6"/>
    <mergeCell ref="B9:C9"/>
    <mergeCell ref="B15:C15"/>
    <mergeCell ref="B21:C21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&amp;K888780M29 — Grille d'évaluation des acquis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"/>
  </cols>
  <sheetData>
    <row r="2" customFormat="false" ht="30" hidden="false" customHeight="true" outlineLevel="0" collapsed="false">
      <c r="B2" s="18" t="s">
        <v>33</v>
      </c>
      <c r="C2" s="18"/>
      <c r="D2" s="18"/>
      <c r="E2" s="18"/>
      <c r="F2" s="18"/>
    </row>
    <row r="3" customFormat="false" ht="19.5" hidden="false" customHeight="true" outlineLevel="0" collapsed="false">
      <c r="B3" s="19" t="s">
        <v>34</v>
      </c>
      <c r="C3" s="19"/>
      <c r="D3" s="19"/>
      <c r="E3" s="19"/>
      <c r="F3" s="19"/>
    </row>
    <row r="4" customFormat="false" ht="6" hidden="false" customHeight="true" outlineLevel="0" collapsed="false">
      <c r="B4" s="3"/>
      <c r="C4" s="3"/>
      <c r="D4" s="3"/>
      <c r="E4" s="3"/>
      <c r="F4" s="3"/>
    </row>
    <row r="6" customFormat="false" ht="24" hidden="false" customHeight="true" outlineLevel="0" collapsed="false">
      <c r="B6" s="20" t="s">
        <v>35</v>
      </c>
      <c r="C6" s="21" t="s">
        <v>36</v>
      </c>
      <c r="D6" s="21"/>
      <c r="E6" s="21"/>
      <c r="F6" s="21"/>
    </row>
    <row r="7" customFormat="false" ht="24" hidden="false" customHeight="true" outlineLevel="0" collapsed="false">
      <c r="B7" s="20" t="s">
        <v>37</v>
      </c>
      <c r="C7" s="21" t="s">
        <v>38</v>
      </c>
      <c r="D7" s="21"/>
      <c r="E7" s="21"/>
      <c r="F7" s="21"/>
    </row>
    <row r="9" customFormat="false" ht="30" hidden="false" customHeight="true" outlineLevel="0" collapsed="false">
      <c r="B9" s="22" t="s">
        <v>39</v>
      </c>
      <c r="C9" s="22" t="s">
        <v>40</v>
      </c>
      <c r="D9" s="22" t="s">
        <v>41</v>
      </c>
      <c r="E9" s="22" t="s">
        <v>42</v>
      </c>
      <c r="F9" s="22" t="s">
        <v>43</v>
      </c>
    </row>
    <row r="10" customFormat="false" ht="31.5" hidden="false" customHeight="true" outlineLevel="0" collapsed="false">
      <c r="B10" s="23" t="s">
        <v>44</v>
      </c>
      <c r="C10" s="24" t="s">
        <v>45</v>
      </c>
      <c r="D10" s="24" t="s">
        <v>46</v>
      </c>
      <c r="E10" s="24" t="s">
        <v>47</v>
      </c>
      <c r="F10" s="23" t="s">
        <v>48</v>
      </c>
    </row>
    <row r="11" customFormat="false" ht="31.5" hidden="false" customHeight="true" outlineLevel="0" collapsed="false">
      <c r="B11" s="23" t="s">
        <v>49</v>
      </c>
      <c r="C11" s="24" t="s">
        <v>45</v>
      </c>
      <c r="D11" s="24" t="s">
        <v>46</v>
      </c>
      <c r="E11" s="24" t="s">
        <v>50</v>
      </c>
      <c r="F11" s="23" t="s">
        <v>48</v>
      </c>
    </row>
    <row r="12" customFormat="false" ht="31.5" hidden="false" customHeight="true" outlineLevel="0" collapsed="false">
      <c r="B12" s="23" t="s">
        <v>51</v>
      </c>
      <c r="C12" s="24" t="s">
        <v>45</v>
      </c>
      <c r="D12" s="24" t="s">
        <v>52</v>
      </c>
      <c r="E12" s="24" t="s">
        <v>53</v>
      </c>
      <c r="F12" s="23" t="s">
        <v>54</v>
      </c>
    </row>
    <row r="13" customFormat="false" ht="31.5" hidden="false" customHeight="true" outlineLevel="0" collapsed="false">
      <c r="B13" s="23" t="s">
        <v>55</v>
      </c>
      <c r="C13" s="24" t="s">
        <v>56</v>
      </c>
      <c r="D13" s="24" t="s">
        <v>57</v>
      </c>
      <c r="E13" s="24" t="s">
        <v>58</v>
      </c>
      <c r="F13" s="23" t="s">
        <v>54</v>
      </c>
    </row>
    <row r="14" customFormat="false" ht="31.5" hidden="false" customHeight="true" outlineLevel="0" collapsed="false">
      <c r="B14" s="23" t="s">
        <v>59</v>
      </c>
      <c r="C14" s="24" t="s">
        <v>56</v>
      </c>
      <c r="D14" s="24" t="s">
        <v>57</v>
      </c>
      <c r="E14" s="24" t="s">
        <v>60</v>
      </c>
      <c r="F14" s="23" t="s">
        <v>61</v>
      </c>
    </row>
    <row r="15" customFormat="false" ht="31.5" hidden="false" customHeight="true" outlineLevel="0" collapsed="false">
      <c r="B15" s="23" t="s">
        <v>62</v>
      </c>
      <c r="C15" s="24" t="s">
        <v>56</v>
      </c>
      <c r="D15" s="24" t="s">
        <v>63</v>
      </c>
      <c r="E15" s="24" t="s">
        <v>64</v>
      </c>
      <c r="F15" s="23" t="s">
        <v>65</v>
      </c>
    </row>
    <row r="16" customFormat="false" ht="31.5" hidden="false" customHeight="true" outlineLevel="0" collapsed="false">
      <c r="B16" s="23" t="s">
        <v>66</v>
      </c>
      <c r="C16" s="24" t="s">
        <v>67</v>
      </c>
      <c r="D16" s="24" t="s">
        <v>68</v>
      </c>
      <c r="E16" s="24" t="s">
        <v>69</v>
      </c>
      <c r="F16" s="23" t="s">
        <v>70</v>
      </c>
    </row>
    <row r="17" customFormat="false" ht="31.5" hidden="false" customHeight="true" outlineLevel="0" collapsed="false">
      <c r="B17" s="23" t="s">
        <v>71</v>
      </c>
      <c r="C17" s="24" t="s">
        <v>67</v>
      </c>
      <c r="D17" s="24" t="s">
        <v>68</v>
      </c>
      <c r="E17" s="24" t="s">
        <v>72</v>
      </c>
      <c r="F17" s="23" t="s">
        <v>61</v>
      </c>
    </row>
    <row r="18" customFormat="false" ht="31.5" hidden="false" customHeight="true" outlineLevel="0" collapsed="false">
      <c r="B18" s="23" t="s">
        <v>73</v>
      </c>
      <c r="C18" s="24" t="s">
        <v>67</v>
      </c>
      <c r="D18" s="24" t="s">
        <v>74</v>
      </c>
      <c r="E18" s="24" t="s">
        <v>75</v>
      </c>
      <c r="F18" s="23" t="s">
        <v>54</v>
      </c>
    </row>
    <row r="19" customFormat="false" ht="31.5" hidden="false" customHeight="true" outlineLevel="0" collapsed="false">
      <c r="B19" s="23" t="s">
        <v>76</v>
      </c>
      <c r="C19" s="24" t="s">
        <v>77</v>
      </c>
      <c r="D19" s="24" t="s">
        <v>78</v>
      </c>
      <c r="E19" s="24" t="s">
        <v>79</v>
      </c>
      <c r="F19" s="23" t="s">
        <v>80</v>
      </c>
    </row>
    <row r="20" customFormat="false" ht="25.5" hidden="false" customHeight="true" outlineLevel="0" collapsed="false">
      <c r="B20" s="25"/>
      <c r="C20" s="26"/>
      <c r="D20" s="26"/>
      <c r="E20" s="26"/>
      <c r="F20" s="25"/>
    </row>
    <row r="21" customFormat="false" ht="25.5" hidden="false" customHeight="true" outlineLevel="0" collapsed="false">
      <c r="B21" s="25"/>
      <c r="C21" s="26"/>
      <c r="D21" s="26"/>
      <c r="E21" s="26"/>
      <c r="F21" s="25"/>
    </row>
    <row r="22" customFormat="false" ht="25.5" hidden="false" customHeight="true" outlineLevel="0" collapsed="false">
      <c r="B22" s="25"/>
      <c r="C22" s="26"/>
      <c r="D22" s="26"/>
      <c r="E22" s="26"/>
      <c r="F22" s="25"/>
    </row>
    <row r="23" customFormat="false" ht="25.5" hidden="false" customHeight="true" outlineLevel="0" collapsed="false">
      <c r="B23" s="25"/>
      <c r="C23" s="26"/>
      <c r="D23" s="26"/>
      <c r="E23" s="26"/>
      <c r="F23" s="25"/>
    </row>
    <row r="24" customFormat="false" ht="25.5" hidden="false" customHeight="true" outlineLevel="0" collapsed="false">
      <c r="B24" s="25"/>
      <c r="C24" s="26"/>
      <c r="D24" s="26"/>
      <c r="E24" s="26"/>
      <c r="F24" s="25"/>
    </row>
    <row r="25" customFormat="false" ht="25.5" hidden="false" customHeight="true" outlineLevel="0" collapsed="false">
      <c r="B25" s="25"/>
      <c r="C25" s="26"/>
      <c r="D25" s="26"/>
      <c r="E25" s="26"/>
      <c r="F25" s="25"/>
    </row>
    <row r="26" customFormat="false" ht="25.5" hidden="false" customHeight="true" outlineLevel="0" collapsed="false">
      <c r="B26" s="25"/>
      <c r="C26" s="26"/>
      <c r="D26" s="26"/>
      <c r="E26" s="26"/>
      <c r="F26" s="25"/>
    </row>
    <row r="27" customFormat="false" ht="25.5" hidden="false" customHeight="true" outlineLevel="0" collapsed="false">
      <c r="B27" s="25"/>
      <c r="C27" s="26"/>
      <c r="D27" s="26"/>
      <c r="E27" s="26"/>
      <c r="F27" s="25"/>
    </row>
    <row r="28" customFormat="false" ht="25.5" hidden="false" customHeight="true" outlineLevel="0" collapsed="false">
      <c r="B28" s="25"/>
      <c r="C28" s="26"/>
      <c r="D28" s="26"/>
      <c r="E28" s="26"/>
      <c r="F28" s="25"/>
    </row>
    <row r="29" customFormat="false" ht="25.5" hidden="false" customHeight="true" outlineLevel="0" collapsed="false">
      <c r="B29" s="25"/>
      <c r="C29" s="26"/>
      <c r="D29" s="26"/>
      <c r="E29" s="26"/>
      <c r="F29" s="25"/>
    </row>
    <row r="30" customFormat="false" ht="25.5" hidden="false" customHeight="true" outlineLevel="0" collapsed="false">
      <c r="B30" s="25"/>
      <c r="C30" s="26"/>
      <c r="D30" s="26"/>
      <c r="E30" s="26"/>
      <c r="F30" s="25"/>
    </row>
    <row r="31" customFormat="false" ht="25.5" hidden="false" customHeight="true" outlineLevel="0" collapsed="false">
      <c r="B31" s="25"/>
      <c r="C31" s="26"/>
      <c r="D31" s="26"/>
      <c r="E31" s="26"/>
      <c r="F31" s="25"/>
    </row>
    <row r="32" customFormat="false" ht="25.5" hidden="false" customHeight="true" outlineLevel="0" collapsed="false">
      <c r="B32" s="25"/>
      <c r="C32" s="26"/>
      <c r="D32" s="26"/>
      <c r="E32" s="26"/>
      <c r="F32" s="25"/>
    </row>
    <row r="33" customFormat="false" ht="25.5" hidden="false" customHeight="true" outlineLevel="0" collapsed="false">
      <c r="B33" s="25"/>
      <c r="C33" s="26"/>
      <c r="D33" s="26"/>
      <c r="E33" s="26"/>
      <c r="F33" s="25"/>
    </row>
    <row r="34" customFormat="false" ht="25.5" hidden="false" customHeight="true" outlineLevel="0" collapsed="false">
      <c r="B34" s="25"/>
      <c r="C34" s="26"/>
      <c r="D34" s="26"/>
      <c r="E34" s="26"/>
      <c r="F34" s="25"/>
    </row>
    <row r="35" customFormat="false" ht="25.5" hidden="false" customHeight="true" outlineLevel="0" collapsed="false">
      <c r="B35" s="25"/>
      <c r="C35" s="26"/>
      <c r="D35" s="26"/>
      <c r="E35" s="26"/>
      <c r="F35" s="25"/>
    </row>
    <row r="36" customFormat="false" ht="25.5" hidden="false" customHeight="true" outlineLevel="0" collapsed="false">
      <c r="B36" s="25"/>
      <c r="C36" s="26"/>
      <c r="D36" s="26"/>
      <c r="E36" s="26"/>
      <c r="F36" s="25"/>
    </row>
    <row r="37" customFormat="false" ht="25.5" hidden="false" customHeight="true" outlineLevel="0" collapsed="false">
      <c r="B37" s="25"/>
      <c r="C37" s="26"/>
      <c r="D37" s="26"/>
      <c r="E37" s="26"/>
      <c r="F37" s="25"/>
    </row>
    <row r="38" customFormat="false" ht="25.5" hidden="false" customHeight="true" outlineLevel="0" collapsed="false">
      <c r="B38" s="25"/>
      <c r="C38" s="26"/>
      <c r="D38" s="26"/>
      <c r="E38" s="26"/>
      <c r="F38" s="25"/>
    </row>
    <row r="39" customFormat="false" ht="25.5" hidden="false" customHeight="true" outlineLevel="0" collapsed="false">
      <c r="B39" s="25"/>
      <c r="C39" s="26"/>
      <c r="D39" s="26"/>
      <c r="E39" s="26"/>
      <c r="F39" s="25"/>
    </row>
    <row r="41" customFormat="false" ht="49.5" hidden="false" customHeight="true" outlineLevel="0" collapsed="false">
      <c r="B41" s="16" t="s">
        <v>81</v>
      </c>
      <c r="C41" s="17" t="s">
        <v>82</v>
      </c>
      <c r="D41" s="17"/>
      <c r="E41" s="17"/>
      <c r="F41" s="17"/>
    </row>
  </sheetData>
  <mergeCells count="5">
    <mergeCell ref="B2:F2"/>
    <mergeCell ref="B3:F3"/>
    <mergeCell ref="C6:F6"/>
    <mergeCell ref="C7:F7"/>
    <mergeCell ref="C41:F41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&amp;K888780M29 — Grille d'évaluation des acquis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2"/>
  </cols>
  <sheetData>
    <row r="2" customFormat="false" ht="30" hidden="false" customHeight="true" outlineLevel="0" collapsed="false">
      <c r="B2" s="18" t="s">
        <v>83</v>
      </c>
      <c r="C2" s="18"/>
      <c r="D2" s="18"/>
      <c r="E2" s="18"/>
      <c r="F2" s="18"/>
      <c r="G2" s="18"/>
    </row>
    <row r="3" customFormat="false" ht="19.5" hidden="false" customHeight="true" outlineLevel="0" collapsed="false">
      <c r="B3" s="19" t="s">
        <v>84</v>
      </c>
      <c r="C3" s="19"/>
      <c r="D3" s="19"/>
      <c r="E3" s="19"/>
      <c r="F3" s="19"/>
      <c r="G3" s="19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25.5" hidden="false" customHeight="true" outlineLevel="0" collapsed="false">
      <c r="B6" s="20" t="s">
        <v>85</v>
      </c>
      <c r="C6" s="21" t="s">
        <v>86</v>
      </c>
      <c r="D6" s="20" t="s">
        <v>87</v>
      </c>
      <c r="E6" s="21" t="s">
        <v>88</v>
      </c>
      <c r="F6" s="20" t="s">
        <v>89</v>
      </c>
      <c r="G6" s="21" t="s">
        <v>90</v>
      </c>
    </row>
    <row r="8" customFormat="false" ht="30" hidden="false" customHeight="true" outlineLevel="0" collapsed="false">
      <c r="B8" s="22" t="s">
        <v>39</v>
      </c>
      <c r="C8" s="22" t="s">
        <v>91</v>
      </c>
      <c r="D8" s="22" t="s">
        <v>41</v>
      </c>
      <c r="E8" s="22" t="s">
        <v>92</v>
      </c>
      <c r="F8" s="22" t="s">
        <v>93</v>
      </c>
      <c r="G8" s="22" t="s">
        <v>94</v>
      </c>
    </row>
    <row r="9" customFormat="false" ht="27.75" hidden="false" customHeight="true" outlineLevel="0" collapsed="false">
      <c r="B9" s="27" t="str">
        <f aca="false">IF('📚 Référentiel'!B10="","",'📚 Référentiel'!B10)</f>
        <v>BC01-C01-I01</v>
      </c>
      <c r="C9" s="28" t="str">
        <f aca="false">IF('📚 Référentiel'!C10="","",'📚 Référentiel'!C10)</f>
        <v>BC01 - Idéation projet</v>
      </c>
      <c r="D9" s="28" t="str">
        <f aca="false">IF('📚 Référentiel'!D10="","",'📚 Référentiel'!D10)</f>
        <v>C01 - Identifier opportunités</v>
      </c>
      <c r="E9" s="28" t="str">
        <f aca="false">IF('📚 Référentiel'!E10="","",'📚 Référentiel'!E10)</f>
        <v>I01 - Réalise une analyse SWOT structurée</v>
      </c>
      <c r="F9" s="29" t="n">
        <v>3</v>
      </c>
      <c r="G9" s="24" t="s">
        <v>95</v>
      </c>
    </row>
    <row r="10" customFormat="false" ht="27.75" hidden="false" customHeight="true" outlineLevel="0" collapsed="false">
      <c r="B10" s="27" t="str">
        <f aca="false">IF('📚 Référentiel'!B11="","",'📚 Référentiel'!B11)</f>
        <v>BC01-C01-I02</v>
      </c>
      <c r="C10" s="28" t="str">
        <f aca="false">IF('📚 Référentiel'!C11="","",'📚 Référentiel'!C11)</f>
        <v>BC01 - Idéation projet</v>
      </c>
      <c r="D10" s="28" t="str">
        <f aca="false">IF('📚 Référentiel'!D11="","",'📚 Référentiel'!D11)</f>
        <v>C01 - Identifier opportunités</v>
      </c>
      <c r="E10" s="28" t="str">
        <f aca="false">IF('📚 Référentiel'!E11="","",'📚 Référentiel'!E11)</f>
        <v>I02 - Cible 3 segments potentiels argumentés</v>
      </c>
      <c r="F10" s="29" t="n">
        <v>2</v>
      </c>
      <c r="G10" s="24" t="s">
        <v>96</v>
      </c>
    </row>
    <row r="11" customFormat="false" ht="27.75" hidden="false" customHeight="true" outlineLevel="0" collapsed="false">
      <c r="B11" s="27" t="str">
        <f aca="false">IF('📚 Référentiel'!B12="","",'📚 Référentiel'!B12)</f>
        <v>BC01-C02-I03</v>
      </c>
      <c r="C11" s="28" t="str">
        <f aca="false">IF('📚 Référentiel'!C12="","",'📚 Référentiel'!C12)</f>
        <v>BC01 - Idéation projet</v>
      </c>
      <c r="D11" s="28" t="str">
        <f aca="false">IF('📚 Référentiel'!D12="","",'📚 Référentiel'!D12)</f>
        <v>C02 - Construire BMC</v>
      </c>
      <c r="E11" s="28" t="str">
        <f aca="false">IF('📚 Référentiel'!E12="","",'📚 Référentiel'!E12)</f>
        <v>I03 - BMC complet et cohérent (9 blocs)</v>
      </c>
      <c r="F11" s="29" t="n">
        <v>2</v>
      </c>
      <c r="G11" s="24" t="s">
        <v>97</v>
      </c>
    </row>
    <row r="12" customFormat="false" ht="27.75" hidden="false" customHeight="true" outlineLevel="0" collapsed="false">
      <c r="B12" s="27" t="str">
        <f aca="false">IF('📚 Référentiel'!B13="","",'📚 Référentiel'!B13)</f>
        <v>BC02-C03-I04</v>
      </c>
      <c r="C12" s="28" t="str">
        <f aca="false">IF('📚 Référentiel'!C13="","",'📚 Référentiel'!C13)</f>
        <v>BC02 - Étude marché</v>
      </c>
      <c r="D12" s="28" t="str">
        <f aca="false">IF('📚 Référentiel'!D13="","",'📚 Référentiel'!D13)</f>
        <v>C03 - Analyser concurrence</v>
      </c>
      <c r="E12" s="28" t="str">
        <f aca="false">IF('📚 Référentiel'!E13="","",'📚 Référentiel'!E13)</f>
        <v>I04 - Veille concurrentielle ≥ 5 acteurs</v>
      </c>
      <c r="F12" s="30"/>
      <c r="G12" s="26"/>
    </row>
    <row r="13" customFormat="false" ht="27.75" hidden="false" customHeight="true" outlineLevel="0" collapsed="false">
      <c r="B13" s="27" t="str">
        <f aca="false">IF('📚 Référentiel'!B14="","",'📚 Référentiel'!B14)</f>
        <v>BC02-C03-I05</v>
      </c>
      <c r="C13" s="28" t="str">
        <f aca="false">IF('📚 Référentiel'!C14="","",'📚 Référentiel'!C14)</f>
        <v>BC02 - Étude marché</v>
      </c>
      <c r="D13" s="28" t="str">
        <f aca="false">IF('📚 Référentiel'!D14="","",'📚 Référentiel'!D14)</f>
        <v>C03 - Analyser concurrence</v>
      </c>
      <c r="E13" s="28" t="str">
        <f aca="false">IF('📚 Référentiel'!E14="","",'📚 Référentiel'!E14)</f>
        <v>I05 - Positionnement stratégique justifié</v>
      </c>
      <c r="F13" s="30"/>
      <c r="G13" s="26"/>
    </row>
    <row r="14" customFormat="false" ht="27.75" hidden="false" customHeight="true" outlineLevel="0" collapsed="false">
      <c r="B14" s="27" t="str">
        <f aca="false">IF('📚 Référentiel'!B15="","",'📚 Référentiel'!B15)</f>
        <v>BC02-C04-I06</v>
      </c>
      <c r="C14" s="28" t="str">
        <f aca="false">IF('📚 Référentiel'!C15="","",'📚 Référentiel'!C15)</f>
        <v>BC02 - Étude marché</v>
      </c>
      <c r="D14" s="28" t="str">
        <f aca="false">IF('📚 Référentiel'!D15="","",'📚 Référentiel'!D15)</f>
        <v>C04 - Étudier clients</v>
      </c>
      <c r="E14" s="28" t="str">
        <f aca="false">IF('📚 Référentiel'!E15="","",'📚 Référentiel'!E15)</f>
        <v>I06 - Réalise ≥ 5 interviews clients</v>
      </c>
      <c r="F14" s="30"/>
      <c r="G14" s="26"/>
    </row>
    <row r="15" customFormat="false" ht="27.75" hidden="false" customHeight="true" outlineLevel="0" collapsed="false">
      <c r="B15" s="27" t="str">
        <f aca="false">IF('📚 Référentiel'!B16="","",'📚 Référentiel'!B16)</f>
        <v>BC03-C05-I07</v>
      </c>
      <c r="C15" s="28" t="str">
        <f aca="false">IF('📚 Référentiel'!C16="","",'📚 Référentiel'!C16)</f>
        <v>BC03 - Pilotage économique</v>
      </c>
      <c r="D15" s="28" t="str">
        <f aca="false">IF('📚 Référentiel'!D16="","",'📚 Référentiel'!D16)</f>
        <v>C05 - Construire prévi.</v>
      </c>
      <c r="E15" s="28" t="str">
        <f aca="false">IF('📚 Référentiel'!E16="","",'📚 Référentiel'!E16)</f>
        <v>I07 - Plan de trésorerie 12 mois cohérent</v>
      </c>
      <c r="F15" s="30"/>
      <c r="G15" s="26"/>
    </row>
    <row r="16" customFormat="false" ht="27.75" hidden="false" customHeight="true" outlineLevel="0" collapsed="false">
      <c r="B16" s="27" t="str">
        <f aca="false">IF('📚 Référentiel'!B17="","",'📚 Référentiel'!B17)</f>
        <v>BC03-C05-I08</v>
      </c>
      <c r="C16" s="28" t="str">
        <f aca="false">IF('📚 Référentiel'!C17="","",'📚 Référentiel'!C17)</f>
        <v>BC03 - Pilotage économique</v>
      </c>
      <c r="D16" s="28" t="str">
        <f aca="false">IF('📚 Référentiel'!D17="","",'📚 Référentiel'!D17)</f>
        <v>C05 - Construire prévi.</v>
      </c>
      <c r="E16" s="28" t="str">
        <f aca="false">IF('📚 Référentiel'!E17="","",'📚 Référentiel'!E17)</f>
        <v>I08 - Justifie hypothèses commerciales</v>
      </c>
      <c r="F16" s="30"/>
      <c r="G16" s="26"/>
    </row>
    <row r="17" customFormat="false" ht="27.75" hidden="false" customHeight="true" outlineLevel="0" collapsed="false">
      <c r="B17" s="27" t="str">
        <f aca="false">IF('📚 Référentiel'!B18="","",'📚 Référentiel'!B18)</f>
        <v>BC03-C06-I09</v>
      </c>
      <c r="C17" s="28" t="str">
        <f aca="false">IF('📚 Référentiel'!C18="","",'📚 Référentiel'!C18)</f>
        <v>BC03 - Pilotage économique</v>
      </c>
      <c r="D17" s="28" t="str">
        <f aca="false">IF('📚 Référentiel'!D18="","",'📚 Référentiel'!D18)</f>
        <v>C06 - Suivre indicateurs</v>
      </c>
      <c r="E17" s="28" t="str">
        <f aca="false">IF('📚 Référentiel'!E18="","",'📚 Référentiel'!E18)</f>
        <v>I09 - Tableau de bord ≥ 5 KPI pertinents</v>
      </c>
      <c r="F17" s="30"/>
      <c r="G17" s="26"/>
    </row>
    <row r="18" customFormat="false" ht="27.75" hidden="false" customHeight="true" outlineLevel="0" collapsed="false">
      <c r="B18" s="27" t="str">
        <f aca="false">IF('📚 Référentiel'!B19="","",'📚 Référentiel'!B19)</f>
        <v>BC04-C07-I10</v>
      </c>
      <c r="C18" s="28" t="str">
        <f aca="false">IF('📚 Référentiel'!C19="","",'📚 Référentiel'!C19)</f>
        <v>BC04 - Lancement</v>
      </c>
      <c r="D18" s="28" t="str">
        <f aca="false">IF('📚 Référentiel'!D19="","",'📚 Référentiel'!D19)</f>
        <v>C07 - Pitcher projet</v>
      </c>
      <c r="E18" s="28" t="str">
        <f aca="false">IF('📚 Référentiel'!E19="","",'📚 Référentiel'!E19)</f>
        <v>I10 - Pitch 3 min — clair, structuré, convaincant</v>
      </c>
      <c r="F18" s="30"/>
      <c r="G18" s="26"/>
    </row>
    <row r="19" customFormat="false" ht="27.75" hidden="false" customHeight="true" outlineLevel="0" collapsed="false">
      <c r="B19" s="27" t="str">
        <f aca="false">IF('📚 Référentiel'!B20="","",'📚 Référentiel'!B20)</f>
        <v/>
      </c>
      <c r="C19" s="28" t="str">
        <f aca="false">IF('📚 Référentiel'!C20="","",'📚 Référentiel'!C20)</f>
        <v/>
      </c>
      <c r="D19" s="28" t="str">
        <f aca="false">IF('📚 Référentiel'!D20="","",'📚 Référentiel'!D20)</f>
        <v/>
      </c>
      <c r="E19" s="28" t="str">
        <f aca="false">IF('📚 Référentiel'!E20="","",'📚 Référentiel'!E20)</f>
        <v/>
      </c>
      <c r="F19" s="30"/>
      <c r="G19" s="26"/>
    </row>
    <row r="20" customFormat="false" ht="27.75" hidden="false" customHeight="true" outlineLevel="0" collapsed="false">
      <c r="B20" s="27" t="str">
        <f aca="false">IF('📚 Référentiel'!B21="","",'📚 Référentiel'!B21)</f>
        <v/>
      </c>
      <c r="C20" s="28" t="str">
        <f aca="false">IF('📚 Référentiel'!C21="","",'📚 Référentiel'!C21)</f>
        <v/>
      </c>
      <c r="D20" s="28" t="str">
        <f aca="false">IF('📚 Référentiel'!D21="","",'📚 Référentiel'!D21)</f>
        <v/>
      </c>
      <c r="E20" s="28" t="str">
        <f aca="false">IF('📚 Référentiel'!E21="","",'📚 Référentiel'!E21)</f>
        <v/>
      </c>
      <c r="F20" s="30"/>
      <c r="G20" s="26"/>
    </row>
    <row r="21" customFormat="false" ht="27.75" hidden="false" customHeight="true" outlineLevel="0" collapsed="false">
      <c r="B21" s="27" t="str">
        <f aca="false">IF('📚 Référentiel'!B22="","",'📚 Référentiel'!B22)</f>
        <v/>
      </c>
      <c r="C21" s="28" t="str">
        <f aca="false">IF('📚 Référentiel'!C22="","",'📚 Référentiel'!C22)</f>
        <v/>
      </c>
      <c r="D21" s="28" t="str">
        <f aca="false">IF('📚 Référentiel'!D22="","",'📚 Référentiel'!D22)</f>
        <v/>
      </c>
      <c r="E21" s="28" t="str">
        <f aca="false">IF('📚 Référentiel'!E22="","",'📚 Référentiel'!E22)</f>
        <v/>
      </c>
      <c r="F21" s="30"/>
      <c r="G21" s="26"/>
    </row>
    <row r="22" customFormat="false" ht="27.75" hidden="false" customHeight="true" outlineLevel="0" collapsed="false">
      <c r="B22" s="27" t="str">
        <f aca="false">IF('📚 Référentiel'!B23="","",'📚 Référentiel'!B23)</f>
        <v/>
      </c>
      <c r="C22" s="28" t="str">
        <f aca="false">IF('📚 Référentiel'!C23="","",'📚 Référentiel'!C23)</f>
        <v/>
      </c>
      <c r="D22" s="28" t="str">
        <f aca="false">IF('📚 Référentiel'!D23="","",'📚 Référentiel'!D23)</f>
        <v/>
      </c>
      <c r="E22" s="28" t="str">
        <f aca="false">IF('📚 Référentiel'!E23="","",'📚 Référentiel'!E23)</f>
        <v/>
      </c>
      <c r="F22" s="30"/>
      <c r="G22" s="26"/>
    </row>
    <row r="23" customFormat="false" ht="27.75" hidden="false" customHeight="true" outlineLevel="0" collapsed="false">
      <c r="B23" s="27" t="str">
        <f aca="false">IF('📚 Référentiel'!B24="","",'📚 Référentiel'!B24)</f>
        <v/>
      </c>
      <c r="C23" s="28" t="str">
        <f aca="false">IF('📚 Référentiel'!C24="","",'📚 Référentiel'!C24)</f>
        <v/>
      </c>
      <c r="D23" s="28" t="str">
        <f aca="false">IF('📚 Référentiel'!D24="","",'📚 Référentiel'!D24)</f>
        <v/>
      </c>
      <c r="E23" s="28" t="str">
        <f aca="false">IF('📚 Référentiel'!E24="","",'📚 Référentiel'!E24)</f>
        <v/>
      </c>
      <c r="F23" s="30"/>
      <c r="G23" s="26"/>
    </row>
    <row r="24" customFormat="false" ht="27.75" hidden="false" customHeight="true" outlineLevel="0" collapsed="false">
      <c r="B24" s="27" t="str">
        <f aca="false">IF('📚 Référentiel'!B25="","",'📚 Référentiel'!B25)</f>
        <v/>
      </c>
      <c r="C24" s="28" t="str">
        <f aca="false">IF('📚 Référentiel'!C25="","",'📚 Référentiel'!C25)</f>
        <v/>
      </c>
      <c r="D24" s="28" t="str">
        <f aca="false">IF('📚 Référentiel'!D25="","",'📚 Référentiel'!D25)</f>
        <v/>
      </c>
      <c r="E24" s="28" t="str">
        <f aca="false">IF('📚 Référentiel'!E25="","",'📚 Référentiel'!E25)</f>
        <v/>
      </c>
      <c r="F24" s="30"/>
      <c r="G24" s="26"/>
    </row>
    <row r="25" customFormat="false" ht="27.75" hidden="false" customHeight="true" outlineLevel="0" collapsed="false">
      <c r="B25" s="27" t="str">
        <f aca="false">IF('📚 Référentiel'!B26="","",'📚 Référentiel'!B26)</f>
        <v/>
      </c>
      <c r="C25" s="28" t="str">
        <f aca="false">IF('📚 Référentiel'!C26="","",'📚 Référentiel'!C26)</f>
        <v/>
      </c>
      <c r="D25" s="28" t="str">
        <f aca="false">IF('📚 Référentiel'!D26="","",'📚 Référentiel'!D26)</f>
        <v/>
      </c>
      <c r="E25" s="28" t="str">
        <f aca="false">IF('📚 Référentiel'!E26="","",'📚 Référentiel'!E26)</f>
        <v/>
      </c>
      <c r="F25" s="30"/>
      <c r="G25" s="26"/>
    </row>
    <row r="26" customFormat="false" ht="27.75" hidden="false" customHeight="true" outlineLevel="0" collapsed="false">
      <c r="B26" s="27" t="str">
        <f aca="false">IF('📚 Référentiel'!B27="","",'📚 Référentiel'!B27)</f>
        <v/>
      </c>
      <c r="C26" s="28" t="str">
        <f aca="false">IF('📚 Référentiel'!C27="","",'📚 Référentiel'!C27)</f>
        <v/>
      </c>
      <c r="D26" s="28" t="str">
        <f aca="false">IF('📚 Référentiel'!D27="","",'📚 Référentiel'!D27)</f>
        <v/>
      </c>
      <c r="E26" s="28" t="str">
        <f aca="false">IF('📚 Référentiel'!E27="","",'📚 Référentiel'!E27)</f>
        <v/>
      </c>
      <c r="F26" s="30"/>
      <c r="G26" s="26"/>
    </row>
    <row r="27" customFormat="false" ht="27.75" hidden="false" customHeight="true" outlineLevel="0" collapsed="false">
      <c r="B27" s="27" t="str">
        <f aca="false">IF('📚 Référentiel'!B28="","",'📚 Référentiel'!B28)</f>
        <v/>
      </c>
      <c r="C27" s="28" t="str">
        <f aca="false">IF('📚 Référentiel'!C28="","",'📚 Référentiel'!C28)</f>
        <v/>
      </c>
      <c r="D27" s="28" t="str">
        <f aca="false">IF('📚 Référentiel'!D28="","",'📚 Référentiel'!D28)</f>
        <v/>
      </c>
      <c r="E27" s="28" t="str">
        <f aca="false">IF('📚 Référentiel'!E28="","",'📚 Référentiel'!E28)</f>
        <v/>
      </c>
      <c r="F27" s="30"/>
      <c r="G27" s="26"/>
    </row>
    <row r="28" customFormat="false" ht="27.75" hidden="false" customHeight="true" outlineLevel="0" collapsed="false">
      <c r="B28" s="27" t="str">
        <f aca="false">IF('📚 Référentiel'!B29="","",'📚 Référentiel'!B29)</f>
        <v/>
      </c>
      <c r="C28" s="28" t="str">
        <f aca="false">IF('📚 Référentiel'!C29="","",'📚 Référentiel'!C29)</f>
        <v/>
      </c>
      <c r="D28" s="28" t="str">
        <f aca="false">IF('📚 Référentiel'!D29="","",'📚 Référentiel'!D29)</f>
        <v/>
      </c>
      <c r="E28" s="28" t="str">
        <f aca="false">IF('📚 Référentiel'!E29="","",'📚 Référentiel'!E29)</f>
        <v/>
      </c>
      <c r="F28" s="30"/>
      <c r="G28" s="26"/>
    </row>
    <row r="29" customFormat="false" ht="27.75" hidden="false" customHeight="true" outlineLevel="0" collapsed="false">
      <c r="B29" s="27" t="str">
        <f aca="false">IF('📚 Référentiel'!B30="","",'📚 Référentiel'!B30)</f>
        <v/>
      </c>
      <c r="C29" s="28" t="str">
        <f aca="false">IF('📚 Référentiel'!C30="","",'📚 Référentiel'!C30)</f>
        <v/>
      </c>
      <c r="D29" s="28" t="str">
        <f aca="false">IF('📚 Référentiel'!D30="","",'📚 Référentiel'!D30)</f>
        <v/>
      </c>
      <c r="E29" s="28" t="str">
        <f aca="false">IF('📚 Référentiel'!E30="","",'📚 Référentiel'!E30)</f>
        <v/>
      </c>
      <c r="F29" s="30"/>
      <c r="G29" s="26"/>
    </row>
    <row r="30" customFormat="false" ht="27.75" hidden="false" customHeight="true" outlineLevel="0" collapsed="false">
      <c r="B30" s="27" t="str">
        <f aca="false">IF('📚 Référentiel'!B31="","",'📚 Référentiel'!B31)</f>
        <v/>
      </c>
      <c r="C30" s="28" t="str">
        <f aca="false">IF('📚 Référentiel'!C31="","",'📚 Référentiel'!C31)</f>
        <v/>
      </c>
      <c r="D30" s="28" t="str">
        <f aca="false">IF('📚 Référentiel'!D31="","",'📚 Référentiel'!D31)</f>
        <v/>
      </c>
      <c r="E30" s="28" t="str">
        <f aca="false">IF('📚 Référentiel'!E31="","",'📚 Référentiel'!E31)</f>
        <v/>
      </c>
      <c r="F30" s="30"/>
      <c r="G30" s="26"/>
    </row>
    <row r="31" customFormat="false" ht="27.75" hidden="false" customHeight="true" outlineLevel="0" collapsed="false">
      <c r="B31" s="27" t="str">
        <f aca="false">IF('📚 Référentiel'!B32="","",'📚 Référentiel'!B32)</f>
        <v/>
      </c>
      <c r="C31" s="28" t="str">
        <f aca="false">IF('📚 Référentiel'!C32="","",'📚 Référentiel'!C32)</f>
        <v/>
      </c>
      <c r="D31" s="28" t="str">
        <f aca="false">IF('📚 Référentiel'!D32="","",'📚 Référentiel'!D32)</f>
        <v/>
      </c>
      <c r="E31" s="28" t="str">
        <f aca="false">IF('📚 Référentiel'!E32="","",'📚 Référentiel'!E32)</f>
        <v/>
      </c>
      <c r="F31" s="30"/>
      <c r="G31" s="26"/>
    </row>
    <row r="32" customFormat="false" ht="27.75" hidden="false" customHeight="true" outlineLevel="0" collapsed="false">
      <c r="B32" s="27" t="str">
        <f aca="false">IF('📚 Référentiel'!B33="","",'📚 Référentiel'!B33)</f>
        <v/>
      </c>
      <c r="C32" s="28" t="str">
        <f aca="false">IF('📚 Référentiel'!C33="","",'📚 Référentiel'!C33)</f>
        <v/>
      </c>
      <c r="D32" s="28" t="str">
        <f aca="false">IF('📚 Référentiel'!D33="","",'📚 Référentiel'!D33)</f>
        <v/>
      </c>
      <c r="E32" s="28" t="str">
        <f aca="false">IF('📚 Référentiel'!E33="","",'📚 Référentiel'!E33)</f>
        <v/>
      </c>
      <c r="F32" s="30"/>
      <c r="G32" s="26"/>
    </row>
    <row r="33" customFormat="false" ht="27.75" hidden="false" customHeight="true" outlineLevel="0" collapsed="false">
      <c r="B33" s="27" t="str">
        <f aca="false">IF('📚 Référentiel'!B34="","",'📚 Référentiel'!B34)</f>
        <v/>
      </c>
      <c r="C33" s="28" t="str">
        <f aca="false">IF('📚 Référentiel'!C34="","",'📚 Référentiel'!C34)</f>
        <v/>
      </c>
      <c r="D33" s="28" t="str">
        <f aca="false">IF('📚 Référentiel'!D34="","",'📚 Référentiel'!D34)</f>
        <v/>
      </c>
      <c r="E33" s="28" t="str">
        <f aca="false">IF('📚 Référentiel'!E34="","",'📚 Référentiel'!E34)</f>
        <v/>
      </c>
      <c r="F33" s="30"/>
      <c r="G33" s="26"/>
    </row>
    <row r="34" customFormat="false" ht="27.75" hidden="false" customHeight="true" outlineLevel="0" collapsed="false">
      <c r="B34" s="27" t="str">
        <f aca="false">IF('📚 Référentiel'!B35="","",'📚 Référentiel'!B35)</f>
        <v/>
      </c>
      <c r="C34" s="28" t="str">
        <f aca="false">IF('📚 Référentiel'!C35="","",'📚 Référentiel'!C35)</f>
        <v/>
      </c>
      <c r="D34" s="28" t="str">
        <f aca="false">IF('📚 Référentiel'!D35="","",'📚 Référentiel'!D35)</f>
        <v/>
      </c>
      <c r="E34" s="28" t="str">
        <f aca="false">IF('📚 Référentiel'!E35="","",'📚 Référentiel'!E35)</f>
        <v/>
      </c>
      <c r="F34" s="30"/>
      <c r="G34" s="26"/>
    </row>
    <row r="35" customFormat="false" ht="27.75" hidden="false" customHeight="true" outlineLevel="0" collapsed="false">
      <c r="B35" s="27" t="str">
        <f aca="false">IF('📚 Référentiel'!B36="","",'📚 Référentiel'!B36)</f>
        <v/>
      </c>
      <c r="C35" s="28" t="str">
        <f aca="false">IF('📚 Référentiel'!C36="","",'📚 Référentiel'!C36)</f>
        <v/>
      </c>
      <c r="D35" s="28" t="str">
        <f aca="false">IF('📚 Référentiel'!D36="","",'📚 Référentiel'!D36)</f>
        <v/>
      </c>
      <c r="E35" s="28" t="str">
        <f aca="false">IF('📚 Référentiel'!E36="","",'📚 Référentiel'!E36)</f>
        <v/>
      </c>
      <c r="F35" s="30"/>
      <c r="G35" s="26"/>
    </row>
    <row r="36" customFormat="false" ht="27.75" hidden="false" customHeight="true" outlineLevel="0" collapsed="false">
      <c r="B36" s="27" t="str">
        <f aca="false">IF('📚 Référentiel'!B37="","",'📚 Référentiel'!B37)</f>
        <v/>
      </c>
      <c r="C36" s="28" t="str">
        <f aca="false">IF('📚 Référentiel'!C37="","",'📚 Référentiel'!C37)</f>
        <v/>
      </c>
      <c r="D36" s="28" t="str">
        <f aca="false">IF('📚 Référentiel'!D37="","",'📚 Référentiel'!D37)</f>
        <v/>
      </c>
      <c r="E36" s="28" t="str">
        <f aca="false">IF('📚 Référentiel'!E37="","",'📚 Référentiel'!E37)</f>
        <v/>
      </c>
      <c r="F36" s="30"/>
      <c r="G36" s="26"/>
    </row>
    <row r="37" customFormat="false" ht="27.75" hidden="false" customHeight="true" outlineLevel="0" collapsed="false">
      <c r="B37" s="27" t="str">
        <f aca="false">IF('📚 Référentiel'!B38="","",'📚 Référentiel'!B38)</f>
        <v/>
      </c>
      <c r="C37" s="28" t="str">
        <f aca="false">IF('📚 Référentiel'!C38="","",'📚 Référentiel'!C38)</f>
        <v/>
      </c>
      <c r="D37" s="28" t="str">
        <f aca="false">IF('📚 Référentiel'!D38="","",'📚 Référentiel'!D38)</f>
        <v/>
      </c>
      <c r="E37" s="28" t="str">
        <f aca="false">IF('📚 Référentiel'!E38="","",'📚 Référentiel'!E38)</f>
        <v/>
      </c>
      <c r="F37" s="30"/>
      <c r="G37" s="26"/>
    </row>
    <row r="38" customFormat="false" ht="27.75" hidden="false" customHeight="true" outlineLevel="0" collapsed="false">
      <c r="B38" s="27" t="str">
        <f aca="false">IF('📚 Référentiel'!B39="","",'📚 Référentiel'!B39)</f>
        <v/>
      </c>
      <c r="C38" s="28" t="str">
        <f aca="false">IF('📚 Référentiel'!C39="","",'📚 Référentiel'!C39)</f>
        <v/>
      </c>
      <c r="D38" s="28" t="str">
        <f aca="false">IF('📚 Référentiel'!D39="","",'📚 Référentiel'!D39)</f>
        <v/>
      </c>
      <c r="E38" s="28" t="str">
        <f aca="false">IF('📚 Référentiel'!E39="","",'📚 Référentiel'!E39)</f>
        <v/>
      </c>
      <c r="F38" s="30"/>
      <c r="G38" s="26"/>
    </row>
    <row r="40" customFormat="false" ht="24" hidden="false" customHeight="true" outlineLevel="0" collapsed="false">
      <c r="B40" s="31" t="s">
        <v>98</v>
      </c>
      <c r="C40" s="31"/>
      <c r="D40" s="31"/>
      <c r="E40" s="31"/>
      <c r="F40" s="31"/>
      <c r="G40" s="31"/>
    </row>
    <row r="41" customFormat="false" ht="30" hidden="false" customHeight="true" outlineLevel="0" collapsed="false">
      <c r="B41" s="22" t="s">
        <v>91</v>
      </c>
      <c r="C41" s="22" t="s">
        <v>99</v>
      </c>
      <c r="D41" s="22" t="s">
        <v>100</v>
      </c>
      <c r="E41" s="22" t="s">
        <v>101</v>
      </c>
      <c r="F41" s="22" t="s">
        <v>102</v>
      </c>
      <c r="G41" s="22" t="s">
        <v>103</v>
      </c>
    </row>
    <row r="42" customFormat="false" ht="27.75" hidden="false" customHeight="true" outlineLevel="0" collapsed="false">
      <c r="B42" s="21" t="s">
        <v>45</v>
      </c>
      <c r="C42" s="32" t="n">
        <f aca="false">IF(B42="","",COUNTIF(C9:C38,B42))</f>
        <v>3</v>
      </c>
      <c r="D42" s="32" t="n">
        <f aca="false">IF(B42="","",COUNTIFS(C9:C38,B42,F9:F38,"&lt;&gt;"))</f>
        <v>3</v>
      </c>
      <c r="E42" s="33" t="n">
        <f aca="false">IFERROR(IF(B42="","",AVERAGEIFS(F9:F38,C9:C38,B42)),"")</f>
        <v>2.33333333333333</v>
      </c>
      <c r="F42" s="34" t="n">
        <f aca="false">IF(E42="","",E42/3)</f>
        <v>0.777777777777778</v>
      </c>
      <c r="G42" s="35" t="str">
        <f aca="false">IF(F42="","",IF(F42&gt;=0.8,"✨ Maîtrisé",IF(F42&gt;=0.66,"✓ Acquis",IF(F42&gt;=0.5,"⚠ Partiel","❌ Non acquis"))))</f>
        <v>✓ Acquis</v>
      </c>
    </row>
    <row r="43" customFormat="false" ht="27.75" hidden="false" customHeight="true" outlineLevel="0" collapsed="false">
      <c r="B43" s="21" t="s">
        <v>56</v>
      </c>
      <c r="C43" s="32" t="n">
        <f aca="false">IF(B43="","",COUNTIF(C9:C38,B43))</f>
        <v>3</v>
      </c>
      <c r="D43" s="32" t="n">
        <f aca="false">IF(B43="","",COUNTIFS(C9:C38,B43,F9:F38,"&lt;&gt;"))</f>
        <v>0</v>
      </c>
      <c r="E43" s="33" t="str">
        <f aca="false">IFERROR(IF(B43="","",AVERAGEIFS(F9:F38,C9:C38,B43)),"")</f>
        <v/>
      </c>
      <c r="F43" s="34" t="str">
        <f aca="false">IF(E43="","",E43/3)</f>
        <v/>
      </c>
      <c r="G43" s="35" t="str">
        <f aca="false">IF(F43="","",IF(F43&gt;=0.8,"✨ Maîtrisé",IF(F43&gt;=0.66,"✓ Acquis",IF(F43&gt;=0.5,"⚠ Partiel","❌ Non acquis"))))</f>
        <v/>
      </c>
    </row>
    <row r="44" customFormat="false" ht="27.75" hidden="false" customHeight="true" outlineLevel="0" collapsed="false">
      <c r="B44" s="21" t="s">
        <v>67</v>
      </c>
      <c r="C44" s="32" t="n">
        <f aca="false">IF(B44="","",COUNTIF(C9:C38,B44))</f>
        <v>3</v>
      </c>
      <c r="D44" s="32" t="n">
        <f aca="false">IF(B44="","",COUNTIFS(C9:C38,B44,F9:F38,"&lt;&gt;"))</f>
        <v>0</v>
      </c>
      <c r="E44" s="33" t="str">
        <f aca="false">IFERROR(IF(B44="","",AVERAGEIFS(F9:F38,C9:C38,B44)),"")</f>
        <v/>
      </c>
      <c r="F44" s="34" t="str">
        <f aca="false">IF(E44="","",E44/3)</f>
        <v/>
      </c>
      <c r="G44" s="35" t="str">
        <f aca="false">IF(F44="","",IF(F44&gt;=0.8,"✨ Maîtrisé",IF(F44&gt;=0.66,"✓ Acquis",IF(F44&gt;=0.5,"⚠ Partiel","❌ Non acquis"))))</f>
        <v/>
      </c>
    </row>
    <row r="45" customFormat="false" ht="27.75" hidden="false" customHeight="true" outlineLevel="0" collapsed="false">
      <c r="B45" s="21" t="s">
        <v>77</v>
      </c>
      <c r="C45" s="32" t="n">
        <f aca="false">IF(B45="","",COUNTIF(C9:C38,B45))</f>
        <v>1</v>
      </c>
      <c r="D45" s="32" t="n">
        <f aca="false">IF(B45="","",COUNTIFS(C9:C38,B45,F9:F38,"&lt;&gt;"))</f>
        <v>0</v>
      </c>
      <c r="E45" s="33" t="str">
        <f aca="false">IFERROR(IF(B45="","",AVERAGEIFS(F9:F38,C9:C38,B45)),"")</f>
        <v/>
      </c>
      <c r="F45" s="34" t="str">
        <f aca="false">IF(E45="","",E45/3)</f>
        <v/>
      </c>
      <c r="G45" s="35" t="str">
        <f aca="false">IF(F45="","",IF(F45&gt;=0.8,"✨ Maîtrisé",IF(F45&gt;=0.66,"✓ Acquis",IF(F45&gt;=0.5,"⚠ Partiel","❌ Non acquis"))))</f>
        <v/>
      </c>
    </row>
    <row r="46" customFormat="false" ht="27.75" hidden="false" customHeight="true" outlineLevel="0" collapsed="false">
      <c r="B46" s="36"/>
      <c r="C46" s="32" t="str">
        <f aca="false">IF(B46="","",COUNTIF(C9:C38,B46))</f>
        <v/>
      </c>
      <c r="D46" s="32" t="str">
        <f aca="false">IF(B46="","",COUNTIFS(C9:C38,B46,F9:F38,"&lt;&gt;"))</f>
        <v/>
      </c>
      <c r="E46" s="33" t="str">
        <f aca="false">IFERROR(IF(B46="","",AVERAGEIFS(F9:F38,C9:C38,B46)),"")</f>
        <v/>
      </c>
      <c r="F46" s="34" t="str">
        <f aca="false">IF(E46="","",E46/3)</f>
        <v/>
      </c>
      <c r="G46" s="35" t="str">
        <f aca="false">IF(F46="","",IF(F46&gt;=0.8,"✨ Maîtrisé",IF(F46&gt;=0.66,"✓ Acquis",IF(F46&gt;=0.5,"⚠ Partiel","❌ Non acquis"))))</f>
        <v/>
      </c>
    </row>
    <row r="48" customFormat="false" ht="31.5" hidden="false" customHeight="true" outlineLevel="0" collapsed="false">
      <c r="B48" s="37" t="s">
        <v>104</v>
      </c>
      <c r="C48" s="37"/>
      <c r="D48" s="37"/>
      <c r="E48" s="38" t="n">
        <f aca="false">IFERROR(AVERAGE(F9:F38),"")</f>
        <v>2.33333333333333</v>
      </c>
      <c r="F48" s="39" t="n">
        <f aca="false">IF(E48="","",E48/3)</f>
        <v>0.777777777777778</v>
      </c>
      <c r="G48" s="40" t="str">
        <f aca="false">IF(F48="","",IF(F48&gt;=0.8,"✨ Mention",IF(F48&gt;=0.66,"✓ ADMIS",IF(F48&gt;=0.5,"⚠ Partiel","❌ AJOURNÉ"))))</f>
        <v>✓ ADMIS</v>
      </c>
    </row>
    <row r="50" customFormat="false" ht="24" hidden="false" customHeight="true" outlineLevel="0" collapsed="false">
      <c r="B50" s="31" t="s">
        <v>105</v>
      </c>
      <c r="C50" s="31"/>
      <c r="D50" s="31"/>
      <c r="E50" s="31"/>
      <c r="F50" s="31"/>
      <c r="G50" s="31"/>
    </row>
    <row r="51" customFormat="false" ht="39.75" hidden="false" customHeight="true" outlineLevel="0" collapsed="false">
      <c r="B51" s="20" t="s">
        <v>106</v>
      </c>
      <c r="C51" s="20"/>
      <c r="D51" s="41" t="s">
        <v>107</v>
      </c>
      <c r="E51" s="41"/>
      <c r="F51" s="41"/>
      <c r="G51" s="41"/>
    </row>
    <row r="52" customFormat="false" ht="39.75" hidden="false" customHeight="true" outlineLevel="0" collapsed="false">
      <c r="B52" s="20" t="s">
        <v>108</v>
      </c>
      <c r="C52" s="20"/>
      <c r="D52" s="41" t="s">
        <v>109</v>
      </c>
      <c r="E52" s="41"/>
      <c r="F52" s="41"/>
      <c r="G52" s="41"/>
    </row>
    <row r="53" customFormat="false" ht="39.75" hidden="false" customHeight="true" outlineLevel="0" collapsed="false">
      <c r="B53" s="20" t="s">
        <v>110</v>
      </c>
      <c r="C53" s="20"/>
      <c r="D53" s="41" t="s">
        <v>111</v>
      </c>
      <c r="E53" s="41"/>
      <c r="F53" s="41"/>
      <c r="G53" s="41"/>
    </row>
    <row r="54" customFormat="false" ht="39.75" hidden="false" customHeight="true" outlineLevel="0" collapsed="false">
      <c r="B54" s="20" t="s">
        <v>112</v>
      </c>
      <c r="C54" s="20"/>
      <c r="D54" s="41" t="s">
        <v>113</v>
      </c>
      <c r="E54" s="41"/>
      <c r="F54" s="41"/>
      <c r="G54" s="41"/>
    </row>
  </sheetData>
  <mergeCells count="13">
    <mergeCell ref="B2:G2"/>
    <mergeCell ref="B3:G3"/>
    <mergeCell ref="B40:G40"/>
    <mergeCell ref="B48:D48"/>
    <mergeCell ref="B50:G50"/>
    <mergeCell ref="B51:C51"/>
    <mergeCell ref="D51:G51"/>
    <mergeCell ref="B52:C52"/>
    <mergeCell ref="D52:G52"/>
    <mergeCell ref="B53:C53"/>
    <mergeCell ref="D53:G53"/>
    <mergeCell ref="B54:C54"/>
    <mergeCell ref="D54:G54"/>
  </mergeCells>
  <conditionalFormatting sqref="F9:F38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3</formula>
    </cfRule>
  </conditionalFormatting>
  <conditionalFormatting sqref="G42:G46">
    <cfRule type="cellIs" priority="6" operator="greaterThanOrEqual" aboveAverage="0" equalAverage="0" bottom="0" percent="0" rank="0" text="" dxfId="4">
      <formula>0.8</formula>
    </cfRule>
    <cfRule type="cellIs" priority="7" operator="between" aboveAverage="0" equalAverage="0" bottom="0" percent="0" rank="0" text="" dxfId="5">
      <formula>0.66</formula>
      <formula>0.7999</formula>
    </cfRule>
    <cfRule type="cellIs" priority="8" operator="between" aboveAverage="0" equalAverage="0" bottom="0" percent="0" rank="0" text="" dxfId="6">
      <formula>0.5</formula>
      <formula>0.6599</formula>
    </cfRule>
    <cfRule type="cellIs" priority="9" operator="lessThan" aboveAverage="0" equalAverage="0" bottom="0" percent="0" rank="0" text="" dxfId="7">
      <formula>0.5</formula>
    </cfRule>
  </conditionalFormatting>
  <dataValidations count="1">
    <dataValidation allowBlank="true" errorStyle="stop" operator="between" showDropDown="false" showErrorMessage="false" showInputMessage="false" sqref="F9:F38" type="list">
      <formula1>"0,1,2,3"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&amp;K888780M29 — Grille d'évaluation des acquis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8" min="4" style="0" width="14"/>
    <col collapsed="false" customWidth="true" hidden="false" outlineLevel="0" max="9" min="9" style="0" width="16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8" t="s">
        <v>114</v>
      </c>
      <c r="C2" s="18"/>
      <c r="D2" s="18"/>
      <c r="E2" s="18"/>
      <c r="F2" s="18"/>
      <c r="G2" s="18"/>
      <c r="H2" s="18"/>
      <c r="I2" s="18"/>
    </row>
    <row r="3" customFormat="false" ht="19.5" hidden="false" customHeight="true" outlineLevel="0" collapsed="false">
      <c r="B3" s="19" t="s">
        <v>115</v>
      </c>
      <c r="C3" s="19"/>
      <c r="D3" s="19"/>
      <c r="E3" s="19"/>
      <c r="F3" s="19"/>
      <c r="G3" s="19"/>
      <c r="H3" s="19"/>
      <c r="I3" s="19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30" hidden="false" customHeight="true" outlineLevel="0" collapsed="false">
      <c r="B6" s="42" t="s">
        <v>116</v>
      </c>
      <c r="C6" s="42"/>
      <c r="D6" s="42"/>
      <c r="E6" s="42"/>
      <c r="F6" s="42"/>
      <c r="G6" s="42"/>
      <c r="H6" s="42"/>
      <c r="I6" s="42"/>
    </row>
    <row r="8" customFormat="false" ht="30" hidden="false" customHeight="true" outlineLevel="0" collapsed="false">
      <c r="B8" s="22" t="s">
        <v>117</v>
      </c>
      <c r="C8" s="22" t="s">
        <v>118</v>
      </c>
      <c r="D8" s="22" t="s">
        <v>119</v>
      </c>
      <c r="E8" s="22" t="s">
        <v>120</v>
      </c>
      <c r="F8" s="22" t="s">
        <v>121</v>
      </c>
      <c r="G8" s="22" t="s">
        <v>122</v>
      </c>
      <c r="H8" s="22" t="s">
        <v>123</v>
      </c>
      <c r="I8" s="22" t="s">
        <v>124</v>
      </c>
      <c r="J8" s="22" t="s">
        <v>125</v>
      </c>
    </row>
    <row r="9" customFormat="false" ht="27.75" hidden="false" customHeight="true" outlineLevel="0" collapsed="false">
      <c r="B9" s="43" t="s">
        <v>126</v>
      </c>
      <c r="C9" s="21" t="s">
        <v>127</v>
      </c>
      <c r="D9" s="44" t="n">
        <v>0.78</v>
      </c>
      <c r="E9" s="44" t="n">
        <v>0.83</v>
      </c>
      <c r="F9" s="44" t="n">
        <v>0.72</v>
      </c>
      <c r="G9" s="44" t="n">
        <v>0.92</v>
      </c>
      <c r="H9" s="45"/>
      <c r="I9" s="34" t="n">
        <f aca="false">IFERROR(AVERAGE(D9:H9),"")</f>
        <v>0.8125</v>
      </c>
      <c r="J9" s="35" t="str">
        <f aca="false">IF(I9="","",IF(I9&gt;=0.8,"✨ Mention",IF(I9&gt;=0.66,"✓ ADMIS",IF(I9&gt;=0.5,"⚠ Partiel","❌ AJOURNÉ"))))</f>
        <v>✨ Mention</v>
      </c>
    </row>
    <row r="10" customFormat="false" ht="27.75" hidden="false" customHeight="true" outlineLevel="0" collapsed="false">
      <c r="B10" s="43" t="s">
        <v>128</v>
      </c>
      <c r="C10" s="21" t="s">
        <v>129</v>
      </c>
      <c r="D10" s="44" t="n">
        <v>0.92</v>
      </c>
      <c r="E10" s="44" t="n">
        <v>0.85</v>
      </c>
      <c r="F10" s="44" t="n">
        <v>0.78</v>
      </c>
      <c r="G10" s="44" t="n">
        <v>0.83</v>
      </c>
      <c r="H10" s="45"/>
      <c r="I10" s="34" t="n">
        <f aca="false">IFERROR(AVERAGE(D10:H10),"")</f>
        <v>0.845</v>
      </c>
      <c r="J10" s="35" t="str">
        <f aca="false">IF(I10="","",IF(I10&gt;=0.8,"✨ Mention",IF(I10&gt;=0.66,"✓ ADMIS",IF(I10&gt;=0.5,"⚠ Partiel","❌ AJOURNÉ"))))</f>
        <v>✨ Mention</v>
      </c>
    </row>
    <row r="11" customFormat="false" ht="27.75" hidden="false" customHeight="true" outlineLevel="0" collapsed="false">
      <c r="B11" s="43" t="s">
        <v>130</v>
      </c>
      <c r="C11" s="21" t="s">
        <v>131</v>
      </c>
      <c r="D11" s="44" t="n">
        <v>0.55</v>
      </c>
      <c r="E11" s="44" t="n">
        <v>0.61</v>
      </c>
      <c r="F11" s="44" t="n">
        <v>0.5</v>
      </c>
      <c r="G11" s="44" t="n">
        <v>0.67</v>
      </c>
      <c r="H11" s="45"/>
      <c r="I11" s="34" t="n">
        <f aca="false">IFERROR(AVERAGE(D11:H11),"")</f>
        <v>0.5825</v>
      </c>
      <c r="J11" s="35" t="str">
        <f aca="false">IF(I11="","",IF(I11&gt;=0.8,"✨ Mention",IF(I11&gt;=0.66,"✓ ADMIS",IF(I11&gt;=0.5,"⚠ Partiel","❌ AJOURNÉ"))))</f>
        <v>⚠ Partiel</v>
      </c>
    </row>
    <row r="12" customFormat="false" ht="27.75" hidden="false" customHeight="true" outlineLevel="0" collapsed="false">
      <c r="B12" s="43" t="s">
        <v>132</v>
      </c>
      <c r="C12" s="21" t="s">
        <v>133</v>
      </c>
      <c r="D12" s="44" t="n">
        <v>0.33</v>
      </c>
      <c r="E12" s="44" t="n">
        <v>0.42</v>
      </c>
      <c r="F12" s="44" t="n">
        <v>0.25</v>
      </c>
      <c r="G12" s="44" t="n">
        <v>0.5</v>
      </c>
      <c r="H12" s="45"/>
      <c r="I12" s="34" t="n">
        <f aca="false">IFERROR(AVERAGE(D12:H12),"")</f>
        <v>0.375</v>
      </c>
      <c r="J12" s="35" t="str">
        <f aca="false">IF(I12="","",IF(I12&gt;=0.8,"✨ Mention",IF(I12&gt;=0.66,"✓ ADMIS",IF(I12&gt;=0.5,"⚠ Partiel","❌ AJOURNÉ"))))</f>
        <v>❌ AJOURNÉ</v>
      </c>
    </row>
    <row r="13" customFormat="false" ht="24" hidden="false" customHeight="true" outlineLevel="0" collapsed="false">
      <c r="B13" s="46"/>
      <c r="C13" s="36"/>
      <c r="D13" s="47"/>
      <c r="E13" s="47"/>
      <c r="F13" s="47"/>
      <c r="G13" s="47"/>
      <c r="H13" s="47"/>
      <c r="I13" s="34" t="str">
        <f aca="false">IFERROR(AVERAGE(D13:H13),"")</f>
        <v/>
      </c>
      <c r="J13" s="35" t="str">
        <f aca="false">IF(I13="","",IF(I13&gt;=0.8,"✨ Mention",IF(I13&gt;=0.66,"✓ ADMIS",IF(I13&gt;=0.5,"⚠ Partiel","❌ AJOURNÉ"))))</f>
        <v/>
      </c>
    </row>
    <row r="14" customFormat="false" ht="24" hidden="false" customHeight="true" outlineLevel="0" collapsed="false">
      <c r="B14" s="46"/>
      <c r="C14" s="36"/>
      <c r="D14" s="47"/>
      <c r="E14" s="47"/>
      <c r="F14" s="47"/>
      <c r="G14" s="47"/>
      <c r="H14" s="47"/>
      <c r="I14" s="34" t="str">
        <f aca="false">IFERROR(AVERAGE(D14:H14),"")</f>
        <v/>
      </c>
      <c r="J14" s="35" t="str">
        <f aca="false">IF(I14="","",IF(I14&gt;=0.8,"✨ Mention",IF(I14&gt;=0.66,"✓ ADMIS",IF(I14&gt;=0.5,"⚠ Partiel","❌ AJOURNÉ"))))</f>
        <v/>
      </c>
    </row>
    <row r="15" customFormat="false" ht="24" hidden="false" customHeight="true" outlineLevel="0" collapsed="false">
      <c r="B15" s="46"/>
      <c r="C15" s="36"/>
      <c r="D15" s="47"/>
      <c r="E15" s="47"/>
      <c r="F15" s="47"/>
      <c r="G15" s="47"/>
      <c r="H15" s="47"/>
      <c r="I15" s="34" t="str">
        <f aca="false">IFERROR(AVERAGE(D15:H15),"")</f>
        <v/>
      </c>
      <c r="J15" s="35" t="str">
        <f aca="false">IF(I15="","",IF(I15&gt;=0.8,"✨ Mention",IF(I15&gt;=0.66,"✓ ADMIS",IF(I15&gt;=0.5,"⚠ Partiel","❌ AJOURNÉ"))))</f>
        <v/>
      </c>
    </row>
    <row r="16" customFormat="false" ht="24" hidden="false" customHeight="true" outlineLevel="0" collapsed="false">
      <c r="B16" s="46"/>
      <c r="C16" s="36"/>
      <c r="D16" s="47"/>
      <c r="E16" s="47"/>
      <c r="F16" s="47"/>
      <c r="G16" s="47"/>
      <c r="H16" s="47"/>
      <c r="I16" s="34" t="str">
        <f aca="false">IFERROR(AVERAGE(D16:H16),"")</f>
        <v/>
      </c>
      <c r="J16" s="35" t="str">
        <f aca="false">IF(I16="","",IF(I16&gt;=0.8,"✨ Mention",IF(I16&gt;=0.66,"✓ ADMIS",IF(I16&gt;=0.5,"⚠ Partiel","❌ AJOURNÉ"))))</f>
        <v/>
      </c>
    </row>
    <row r="17" customFormat="false" ht="24" hidden="false" customHeight="true" outlineLevel="0" collapsed="false">
      <c r="B17" s="46"/>
      <c r="C17" s="36"/>
      <c r="D17" s="47"/>
      <c r="E17" s="47"/>
      <c r="F17" s="47"/>
      <c r="G17" s="47"/>
      <c r="H17" s="47"/>
      <c r="I17" s="34" t="str">
        <f aca="false">IFERROR(AVERAGE(D17:H17),"")</f>
        <v/>
      </c>
      <c r="J17" s="35" t="str">
        <f aca="false">IF(I17="","",IF(I17&gt;=0.8,"✨ Mention",IF(I17&gt;=0.66,"✓ ADMIS",IF(I17&gt;=0.5,"⚠ Partiel","❌ AJOURNÉ"))))</f>
        <v/>
      </c>
    </row>
    <row r="18" customFormat="false" ht="24" hidden="false" customHeight="true" outlineLevel="0" collapsed="false">
      <c r="B18" s="46"/>
      <c r="C18" s="36"/>
      <c r="D18" s="47"/>
      <c r="E18" s="47"/>
      <c r="F18" s="47"/>
      <c r="G18" s="47"/>
      <c r="H18" s="47"/>
      <c r="I18" s="34" t="str">
        <f aca="false">IFERROR(AVERAGE(D18:H18),"")</f>
        <v/>
      </c>
      <c r="J18" s="35" t="str">
        <f aca="false">IF(I18="","",IF(I18&gt;=0.8,"✨ Mention",IF(I18&gt;=0.66,"✓ ADMIS",IF(I18&gt;=0.5,"⚠ Partiel","❌ AJOURNÉ"))))</f>
        <v/>
      </c>
    </row>
    <row r="19" customFormat="false" ht="24" hidden="false" customHeight="true" outlineLevel="0" collapsed="false">
      <c r="B19" s="46"/>
      <c r="C19" s="36"/>
      <c r="D19" s="47"/>
      <c r="E19" s="47"/>
      <c r="F19" s="47"/>
      <c r="G19" s="47"/>
      <c r="H19" s="47"/>
      <c r="I19" s="34" t="str">
        <f aca="false">IFERROR(AVERAGE(D19:H19),"")</f>
        <v/>
      </c>
      <c r="J19" s="35" t="str">
        <f aca="false">IF(I19="","",IF(I19&gt;=0.8,"✨ Mention",IF(I19&gt;=0.66,"✓ ADMIS",IF(I19&gt;=0.5,"⚠ Partiel","❌ AJOURNÉ"))))</f>
        <v/>
      </c>
    </row>
    <row r="20" customFormat="false" ht="24" hidden="false" customHeight="true" outlineLevel="0" collapsed="false">
      <c r="B20" s="46"/>
      <c r="C20" s="36"/>
      <c r="D20" s="47"/>
      <c r="E20" s="47"/>
      <c r="F20" s="47"/>
      <c r="G20" s="47"/>
      <c r="H20" s="47"/>
      <c r="I20" s="34" t="str">
        <f aca="false">IFERROR(AVERAGE(D20:H20),"")</f>
        <v/>
      </c>
      <c r="J20" s="35" t="str">
        <f aca="false">IF(I20="","",IF(I20&gt;=0.8,"✨ Mention",IF(I20&gt;=0.66,"✓ ADMIS",IF(I20&gt;=0.5,"⚠ Partiel","❌ AJOURNÉ"))))</f>
        <v/>
      </c>
    </row>
    <row r="21" customFormat="false" ht="24" hidden="false" customHeight="true" outlineLevel="0" collapsed="false">
      <c r="B21" s="46"/>
      <c r="C21" s="36"/>
      <c r="D21" s="47"/>
      <c r="E21" s="47"/>
      <c r="F21" s="47"/>
      <c r="G21" s="47"/>
      <c r="H21" s="47"/>
      <c r="I21" s="34" t="str">
        <f aca="false">IFERROR(AVERAGE(D21:H21),"")</f>
        <v/>
      </c>
      <c r="J21" s="35" t="str">
        <f aca="false">IF(I21="","",IF(I21&gt;=0.8,"✨ Mention",IF(I21&gt;=0.66,"✓ ADMIS",IF(I21&gt;=0.5,"⚠ Partiel","❌ AJOURNÉ"))))</f>
        <v/>
      </c>
    </row>
    <row r="22" customFormat="false" ht="24" hidden="false" customHeight="true" outlineLevel="0" collapsed="false">
      <c r="B22" s="46"/>
      <c r="C22" s="36"/>
      <c r="D22" s="47"/>
      <c r="E22" s="47"/>
      <c r="F22" s="47"/>
      <c r="G22" s="47"/>
      <c r="H22" s="47"/>
      <c r="I22" s="34" t="str">
        <f aca="false">IFERROR(AVERAGE(D22:H22),"")</f>
        <v/>
      </c>
      <c r="J22" s="35" t="str">
        <f aca="false">IF(I22="","",IF(I22&gt;=0.8,"✨ Mention",IF(I22&gt;=0.66,"✓ ADMIS",IF(I22&gt;=0.5,"⚠ Partiel","❌ AJOURNÉ"))))</f>
        <v/>
      </c>
    </row>
    <row r="23" customFormat="false" ht="24" hidden="false" customHeight="true" outlineLevel="0" collapsed="false">
      <c r="B23" s="46"/>
      <c r="C23" s="36"/>
      <c r="D23" s="47"/>
      <c r="E23" s="47"/>
      <c r="F23" s="47"/>
      <c r="G23" s="47"/>
      <c r="H23" s="47"/>
      <c r="I23" s="34" t="str">
        <f aca="false">IFERROR(AVERAGE(D23:H23),"")</f>
        <v/>
      </c>
      <c r="J23" s="35" t="str">
        <f aca="false">IF(I23="","",IF(I23&gt;=0.8,"✨ Mention",IF(I23&gt;=0.66,"✓ ADMIS",IF(I23&gt;=0.5,"⚠ Partiel","❌ AJOURNÉ"))))</f>
        <v/>
      </c>
    </row>
    <row r="24" customFormat="false" ht="24" hidden="false" customHeight="true" outlineLevel="0" collapsed="false">
      <c r="B24" s="46"/>
      <c r="C24" s="36"/>
      <c r="D24" s="47"/>
      <c r="E24" s="47"/>
      <c r="F24" s="47"/>
      <c r="G24" s="47"/>
      <c r="H24" s="47"/>
      <c r="I24" s="34" t="str">
        <f aca="false">IFERROR(AVERAGE(D24:H24),"")</f>
        <v/>
      </c>
      <c r="J24" s="35" t="str">
        <f aca="false">IF(I24="","",IF(I24&gt;=0.8,"✨ Mention",IF(I24&gt;=0.66,"✓ ADMIS",IF(I24&gt;=0.5,"⚠ Partiel","❌ AJOURNÉ"))))</f>
        <v/>
      </c>
    </row>
    <row r="25" customFormat="false" ht="24" hidden="false" customHeight="true" outlineLevel="0" collapsed="false">
      <c r="B25" s="46"/>
      <c r="C25" s="36"/>
      <c r="D25" s="47"/>
      <c r="E25" s="47"/>
      <c r="F25" s="47"/>
      <c r="G25" s="47"/>
      <c r="H25" s="47"/>
      <c r="I25" s="34" t="str">
        <f aca="false">IFERROR(AVERAGE(D25:H25),"")</f>
        <v/>
      </c>
      <c r="J25" s="35" t="str">
        <f aca="false">IF(I25="","",IF(I25&gt;=0.8,"✨ Mention",IF(I25&gt;=0.66,"✓ ADMIS",IF(I25&gt;=0.5,"⚠ Partiel","❌ AJOURNÉ"))))</f>
        <v/>
      </c>
    </row>
    <row r="26" customFormat="false" ht="24" hidden="false" customHeight="true" outlineLevel="0" collapsed="false">
      <c r="B26" s="46"/>
      <c r="C26" s="36"/>
      <c r="D26" s="47"/>
      <c r="E26" s="47"/>
      <c r="F26" s="47"/>
      <c r="G26" s="47"/>
      <c r="H26" s="47"/>
      <c r="I26" s="34" t="str">
        <f aca="false">IFERROR(AVERAGE(D26:H26),"")</f>
        <v/>
      </c>
      <c r="J26" s="35" t="str">
        <f aca="false">IF(I26="","",IF(I26&gt;=0.8,"✨ Mention",IF(I26&gt;=0.66,"✓ ADMIS",IF(I26&gt;=0.5,"⚠ Partiel","❌ AJOURNÉ"))))</f>
        <v/>
      </c>
    </row>
    <row r="27" customFormat="false" ht="24" hidden="false" customHeight="true" outlineLevel="0" collapsed="false">
      <c r="B27" s="46"/>
      <c r="C27" s="36"/>
      <c r="D27" s="47"/>
      <c r="E27" s="47"/>
      <c r="F27" s="47"/>
      <c r="G27" s="47"/>
      <c r="H27" s="47"/>
      <c r="I27" s="34" t="str">
        <f aca="false">IFERROR(AVERAGE(D27:H27),"")</f>
        <v/>
      </c>
      <c r="J27" s="35" t="str">
        <f aca="false">IF(I27="","",IF(I27&gt;=0.8,"✨ Mention",IF(I27&gt;=0.66,"✓ ADMIS",IF(I27&gt;=0.5,"⚠ Partiel","❌ AJOURNÉ"))))</f>
        <v/>
      </c>
    </row>
    <row r="28" customFormat="false" ht="24" hidden="false" customHeight="true" outlineLevel="0" collapsed="false">
      <c r="B28" s="46"/>
      <c r="C28" s="36"/>
      <c r="D28" s="47"/>
      <c r="E28" s="47"/>
      <c r="F28" s="47"/>
      <c r="G28" s="47"/>
      <c r="H28" s="47"/>
      <c r="I28" s="34" t="str">
        <f aca="false">IFERROR(AVERAGE(D28:H28),"")</f>
        <v/>
      </c>
      <c r="J28" s="35" t="str">
        <f aca="false">IF(I28="","",IF(I28&gt;=0.8,"✨ Mention",IF(I28&gt;=0.66,"✓ ADMIS",IF(I28&gt;=0.5,"⚠ Partiel","❌ AJOURNÉ"))))</f>
        <v/>
      </c>
    </row>
    <row r="30" customFormat="false" ht="30" hidden="false" customHeight="true" outlineLevel="0" collapsed="false">
      <c r="B30" s="37" t="s">
        <v>134</v>
      </c>
      <c r="C30" s="37"/>
      <c r="D30" s="48" t="n">
        <f aca="false">IFERROR(AVERAGE(D9:D28),"")</f>
        <v>0.645</v>
      </c>
      <c r="E30" s="48" t="n">
        <f aca="false">IFERROR(AVERAGE(E9:E28),"")</f>
        <v>0.6775</v>
      </c>
      <c r="F30" s="48" t="n">
        <f aca="false">IFERROR(AVERAGE(F9:F28),"")</f>
        <v>0.5625</v>
      </c>
      <c r="G30" s="48" t="n">
        <f aca="false">IFERROR(AVERAGE(G9:G28),"")</f>
        <v>0.73</v>
      </c>
      <c r="H30" s="48" t="str">
        <f aca="false">IFERROR(AVERAGE(H9:H28),"")</f>
        <v/>
      </c>
      <c r="I30" s="48" t="n">
        <f aca="false">IFERROR(AVERAGE(I9:I28),"")</f>
        <v>0.65375</v>
      </c>
      <c r="J30" s="49"/>
    </row>
    <row r="32" customFormat="false" ht="25.5" hidden="false" customHeight="true" outlineLevel="0" collapsed="false">
      <c r="B32" s="50" t="s">
        <v>135</v>
      </c>
      <c r="C32" s="50"/>
      <c r="D32" s="50"/>
      <c r="E32" s="50"/>
      <c r="F32" s="50"/>
      <c r="G32" s="50"/>
      <c r="H32" s="50"/>
      <c r="I32" s="50"/>
      <c r="J32" s="50"/>
    </row>
    <row r="33" customFormat="false" ht="24" hidden="false" customHeight="true" outlineLevel="0" collapsed="false">
      <c r="B33" s="20" t="s">
        <v>136</v>
      </c>
      <c r="C33" s="20"/>
      <c r="D33" s="20"/>
      <c r="E33" s="20"/>
      <c r="F33" s="51" t="n">
        <f aca="false">COUNTA(C9:C28)</f>
        <v>4</v>
      </c>
      <c r="G33" s="51"/>
      <c r="H33" s="51"/>
      <c r="I33" s="51"/>
      <c r="J33" s="51"/>
    </row>
    <row r="34" customFormat="false" ht="24" hidden="false" customHeight="true" outlineLevel="0" collapsed="false">
      <c r="B34" s="20" t="s">
        <v>137</v>
      </c>
      <c r="C34" s="20"/>
      <c r="D34" s="20"/>
      <c r="E34" s="20"/>
      <c r="F34" s="34" t="n">
        <f aca="false">IFERROR((COUNTIF(J9:J28,"✓ ADMIS")+COUNTIF(J9:J28,"✨ Mention"))/COUNTA(C9:C28),0)</f>
        <v>0.5</v>
      </c>
      <c r="G34" s="34"/>
      <c r="H34" s="34"/>
      <c r="I34" s="34"/>
      <c r="J34" s="34"/>
    </row>
    <row r="35" customFormat="false" ht="24" hidden="false" customHeight="true" outlineLevel="0" collapsed="false">
      <c r="B35" s="20" t="s">
        <v>138</v>
      </c>
      <c r="C35" s="20"/>
      <c r="D35" s="20"/>
      <c r="E35" s="20"/>
      <c r="F35" s="52" t="str">
        <f aca="false">IFERROR(INDEX($D$8:$H$8,MATCH(MIN(D30:H30),D30:H30,0))&amp;" ("&amp;TEXT(MIN(D30:H30),"0%")&amp;")","")</f>
        <v>BC03 (56%)</v>
      </c>
      <c r="G35" s="52"/>
      <c r="H35" s="52"/>
      <c r="I35" s="52"/>
      <c r="J35" s="52"/>
    </row>
  </sheetData>
  <mergeCells count="11">
    <mergeCell ref="B2:I2"/>
    <mergeCell ref="B3:I3"/>
    <mergeCell ref="B6:I6"/>
    <mergeCell ref="B30:C30"/>
    <mergeCell ref="B32:J32"/>
    <mergeCell ref="B33:E33"/>
    <mergeCell ref="F33:J33"/>
    <mergeCell ref="B34:E34"/>
    <mergeCell ref="F34:J34"/>
    <mergeCell ref="B35:E35"/>
    <mergeCell ref="F35:J35"/>
  </mergeCells>
  <conditionalFormatting sqref="I9:I28">
    <cfRule type="cellIs" priority="2" operator="greaterThanOrEqual" aboveAverage="0" equalAverage="0" bottom="0" percent="0" rank="0" text="" dxfId="4">
      <formula>0.8</formula>
    </cfRule>
    <cfRule type="cellIs" priority="3" operator="between" aboveAverage="0" equalAverage="0" bottom="0" percent="0" rank="0" text="" dxfId="5">
      <formula>0.66</formula>
      <formula>0.7999</formula>
    </cfRule>
    <cfRule type="cellIs" priority="4" operator="between" aboveAverage="0" equalAverage="0" bottom="0" percent="0" rank="0" text="" dxfId="6">
      <formula>0.5</formula>
      <formula>0.6599</formula>
    </cfRule>
    <cfRule type="cellIs" priority="5" operator="lessThan" aboveAverage="0" equalAverage="0" bottom="0" percent="0" rank="0" text="" dxfId="7">
      <formula>0.5</formula>
    </cfRule>
  </conditionalFormatting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&amp;K888780M29 — Grille d'évaluation des acquis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2026-05-14T13:51:42Z</dcterms:created>
  <dc:creator>openpyxl</dc:creator>
  <dc:description/>
  <dc:language>en-US</dc:language>
  <cp:lastModifiedBy/>
  <dcterms:modified xsi:type="dcterms:W3CDTF">2026-05-14T13:51:42Z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