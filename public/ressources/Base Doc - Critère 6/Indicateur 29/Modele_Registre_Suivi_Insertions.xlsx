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ode d'emploi" sheetId="1" state="visible" r:id="rId3"/>
    <sheet name="📋 Suivi des sortants" sheetId="2" state="visible" r:id="rId4"/>
    <sheet name="📊 Taux &amp; InserJeunes" sheetId="3" state="visible" r:id="rId5"/>
    <sheet name="📈 Bilan &amp; pl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<sst xmlns="http://schemas.openxmlformats.org/spreadsheetml/2006/main" count="105" uniqueCount="82">
  <si>
    <t xml:space="preserve">REGISTRE SUIVI DES INSERTIONS</t>
  </si>
  <si>
    <t xml:space="preserve">Modèle M48-bis — Suivi individuel + calcul automatique des taux — Ind. 29 (Majeure CFA)</t>
  </si>
  <si>
    <t xml:space="preserve">À QUOI SERT CE DOCUMENT</t>
  </si>
  <si>
    <t xml:space="preserve">Registre nominatif des sortants du CFA avec leur situation à N+6 et N+12. Les taux d'insertion sont calculés automatiquement. À croiser avec les données publiques InserJeunes. Pièce de preuve principale de l'Ind. 29 — sans ce suivi, NC majeure quasi automatique pour un CFA.</t>
  </si>
  <si>
    <t xml:space="preserve">STRUCTURE DU CLASSEUR</t>
  </si>
  <si>
    <t xml:space="preserve">📋 Suivi des sortants</t>
  </si>
  <si>
    <t xml:space="preserve">Une ligne par apprenti — situation N+6 et N+12.</t>
  </si>
  <si>
    <t xml:space="preserve">📊 Taux &amp; comparaison InserJeunes</t>
  </si>
  <si>
    <t xml:space="preserve">Calcul auto des taux + écart avec InserJeunes.</t>
  </si>
  <si>
    <t xml:space="preserve">📈 Bilan &amp; plan d'amélioration</t>
  </si>
  <si>
    <t xml:space="preserve">Analyse, actions correctrices, lien conseil perfectionnement.</t>
  </si>
  <si>
    <t xml:space="preserve">💡 Ind. 29</t>
  </si>
  <si>
    <t xml:space="preserve">Pièges fréquents (PDF officiel) : (1) pas d'enquête menée, (2) taux non publiés, (3) pas d'analyse des écarts, (4) pas d'action correctrice, (5) conseil de perfectionnement non informé. Croiser systématiquement avec InserJeunes et présenter au conseil de perfectionnement (lien Ind. 32).</t>
  </si>
  <si>
    <t xml:space="preserve">📋 SUIVI DES SORTANTS</t>
  </si>
  <si>
    <t xml:space="preserve">Promo [ AAAA ] — une ligne par apprenti sortant</t>
  </si>
  <si>
    <t xml:space="preserve">N°</t>
  </si>
  <si>
    <t xml:space="preserve">Nom Prénom</t>
  </si>
  <si>
    <t xml:space="preserve">Certification</t>
  </si>
  <si>
    <t xml:space="preserve">Obtenue ?</t>
  </si>
  <si>
    <t xml:space="preserve">Situation N+6</t>
  </si>
  <si>
    <t xml:space="preserve">Situation N+12</t>
  </si>
  <si>
    <t xml:space="preserve">En lien formation ?</t>
  </si>
  <si>
    <t xml:space="preserve">Type contrat</t>
  </si>
  <si>
    <t xml:space="preserve">01</t>
  </si>
  <si>
    <t xml:space="preserve">DUPONT Marie</t>
  </si>
  <si>
    <t xml:space="preserve">BTS MCO</t>
  </si>
  <si>
    <t xml:space="preserve">✓ Oui</t>
  </si>
  <si>
    <t xml:space="preserve">Emploi</t>
  </si>
  <si>
    <t xml:space="preserve">Oui totalement</t>
  </si>
  <si>
    <t xml:space="preserve">CDI</t>
  </si>
  <si>
    <t xml:space="preserve">02</t>
  </si>
  <si>
    <t xml:space="preserve">MARTIN Karim</t>
  </si>
  <si>
    <t xml:space="preserve">Bac Pro Cuisine</t>
  </si>
  <si>
    <t xml:space="preserve">CDD</t>
  </si>
  <si>
    <t xml:space="preserve">03</t>
  </si>
  <si>
    <t xml:space="preserve">BERNARD Sophie</t>
  </si>
  <si>
    <t xml:space="preserve">BTS Compta</t>
  </si>
  <si>
    <t xml:space="preserve">Poursuite études</t>
  </si>
  <si>
    <t xml:space="preserve">Sans objet</t>
  </si>
  <si>
    <t xml:space="preserve">04</t>
  </si>
  <si>
    <t xml:space="preserve">LEROY Thomas</t>
  </si>
  <si>
    <t xml:space="preserve">Bac Pro Méca</t>
  </si>
  <si>
    <t xml:space="preserve">❌ Non</t>
  </si>
  <si>
    <t xml:space="preserve">Recherche emploi</t>
  </si>
  <si>
    <t xml:space="preserve">Partiellement</t>
  </si>
  <si>
    <t xml:space="preserve">Intérim</t>
  </si>
  <si>
    <t xml:space="preserve">05</t>
  </si>
  <si>
    <t xml:space="preserve">PETIT Lucas</t>
  </si>
  <si>
    <t xml:space="preserve">Non</t>
  </si>
  <si>
    <t xml:space="preserve">📊 TAUX D'INSERTION &amp; COMPARAISON INSERJEUNES</t>
  </si>
  <si>
    <t xml:space="preserve">Calcul automatique + comparaison avec les données publiques</t>
  </si>
  <si>
    <t xml:space="preserve">INDICATEUR</t>
  </si>
  <si>
    <t xml:space="preserve">Notre CFA</t>
  </si>
  <si>
    <t xml:space="preserve">InserJeunes</t>
  </si>
  <si>
    <t xml:space="preserve">Écart</t>
  </si>
  <si>
    <t xml:space="preserve">Nombre total de sortants suivis</t>
  </si>
  <si>
    <t xml:space="preserve">—</t>
  </si>
  <si>
    <t xml:space="preserve">[ à analyser ]</t>
  </si>
  <si>
    <t xml:space="preserve">Taux de réussite à la certification</t>
  </si>
  <si>
    <t xml:space="preserve">[ % ]</t>
  </si>
  <si>
    <t xml:space="preserve">Taux d'insertion emploi (N+12)</t>
  </si>
  <si>
    <t xml:space="preserve">Taux de poursuite d'études (N+12)</t>
  </si>
  <si>
    <t xml:space="preserve">Taux d'insertion globale (emploi + études)</t>
  </si>
  <si>
    <t xml:space="preserve">Taux d'emploi en lien avec la formation</t>
  </si>
  <si>
    <t xml:space="preserve">💡 Lecture</t>
  </si>
  <si>
    <t xml:space="preserve">Renseigner la colonne InserJeunes avec les données publiques de votre CFA. Un écart explicable montre votre maîtrise ; un écart inexpliqué interroge l'auditeur. Publier les taux (site + InserJeunes) et les présenter au conseil de perfectionnement.</t>
  </si>
  <si>
    <t xml:space="preserve">📈 BILAN &amp; PLAN D'AMÉLIORATION</t>
  </si>
  <si>
    <t xml:space="preserve">Analyse des résultats + actions correctrices (lien Ind. 32 — PAQ M53)</t>
  </si>
  <si>
    <t xml:space="preserve">Synthèse des taux de l'année</t>
  </si>
  <si>
    <t xml:space="preserve">[ Ex. Insertion globale 87%, en lien formation 72% ]</t>
  </si>
  <si>
    <t xml:space="preserve">Analyse des écarts entre promotions</t>
  </si>
  <si>
    <t xml:space="preserve">[ Ex. -5 pts vs promo précédente sur l'emploi durable ]</t>
  </si>
  <si>
    <t xml:space="preserve">Comparaison InserJeunes — écarts expliqués</t>
  </si>
  <si>
    <t xml:space="preserve">[ Ex. Écart +3 pts ; expliqué par notre suivi renforcé ]</t>
  </si>
  <si>
    <t xml:space="preserve">Causes identifiées (si taux faibles)</t>
  </si>
  <si>
    <t xml:space="preserve">[ Ex. Tension sur le secteur X, ruptures liées à... ]</t>
  </si>
  <si>
    <t xml:space="preserve">Actions correctrices décidées</t>
  </si>
  <si>
    <t xml:space="preserve">[ Ex. Renforcement accompagnement recherche emploi, partenariats entreprises ]</t>
  </si>
  <si>
    <t xml:space="preserve">Présentation au conseil de perfectionnement</t>
  </si>
  <si>
    <t xml:space="preserve">[ Date du conseil + référence PV (M54) ]</t>
  </si>
  <si>
    <t xml:space="preserve">Report dans le PAQ (M53)</t>
  </si>
  <si>
    <t xml:space="preserve">[ Référence des actions inscrites au plan d'amélioration ]</t>
  </si>
</sst>
</file>

<file path=xl/styles.xml><?xml version="1.0" encoding="utf-8"?>
<styleSheet xmlns="http://schemas.openxmlformats.org/spreadsheetml/2006/main">
  <numFmts count="3">
    <numFmt numFmtId="164" formatCode="General"/>
    <numFmt numFmtId="165" formatCode="General"/>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20"/>
      <color rgb="FF0F2A47"/>
      <name val="Arial"/>
      <family val="0"/>
      <charset val="1"/>
    </font>
    <font>
      <i val="true"/>
      <sz val="11"/>
      <color rgb="FF5F5E5A"/>
      <name val="Arial"/>
      <family val="0"/>
      <charset val="1"/>
    </font>
    <font>
      <b val="true"/>
      <sz val="10"/>
      <color rgb="FFD85A30"/>
      <name val="Arial"/>
      <family val="0"/>
      <charset val="1"/>
    </font>
    <font>
      <sz val="10"/>
      <color rgb="FF2C2C2A"/>
      <name val="Arial"/>
      <family val="0"/>
      <charset val="1"/>
    </font>
    <font>
      <b val="true"/>
      <sz val="10"/>
      <color rgb="FF0F2A47"/>
      <name val="Arial"/>
      <family val="0"/>
      <charset val="1"/>
    </font>
    <font>
      <b val="true"/>
      <sz val="9"/>
      <color rgb="FFB98D27"/>
      <name val="Arial"/>
      <family val="0"/>
      <charset val="1"/>
    </font>
    <font>
      <sz val="9"/>
      <color rgb="FF2C2C2A"/>
      <name val="Arial"/>
      <family val="0"/>
      <charset val="1"/>
    </font>
    <font>
      <b val="true"/>
      <sz val="18"/>
      <color rgb="FF0F2A47"/>
      <name val="Arial"/>
      <family val="0"/>
      <charset val="1"/>
    </font>
    <font>
      <i val="true"/>
      <sz val="10"/>
      <color rgb="FF5F5E5A"/>
      <name val="Arial"/>
      <family val="0"/>
      <charset val="1"/>
    </font>
    <font>
      <b val="true"/>
      <sz val="10"/>
      <color rgb="FFFFFFFF"/>
      <name val="Arial"/>
      <family val="0"/>
      <charset val="1"/>
    </font>
    <font>
      <i val="true"/>
      <sz val="9"/>
      <color rgb="FF888780"/>
      <name val="Arial"/>
      <family val="0"/>
      <charset val="1"/>
    </font>
    <font>
      <b val="true"/>
      <sz val="11"/>
      <color rgb="FFFFFFFF"/>
      <name val="Arial"/>
      <family val="0"/>
      <charset val="1"/>
    </font>
    <font>
      <b val="true"/>
      <sz val="10"/>
      <color rgb="FF2C2C2A"/>
      <name val="Arial"/>
      <family val="0"/>
      <charset val="1"/>
    </font>
    <font>
      <b val="true"/>
      <sz val="12"/>
      <color rgb="FF0F2A47"/>
      <name val="Arial"/>
      <family val="0"/>
      <charset val="1"/>
    </font>
    <font>
      <i val="true"/>
      <sz val="11"/>
      <color rgb="FF888780"/>
      <name val="Arial"/>
      <family val="0"/>
      <charset val="1"/>
    </font>
    <font>
      <i val="true"/>
      <sz val="10"/>
      <color rgb="FF888780"/>
      <name val="Arial"/>
      <family val="0"/>
      <charset val="1"/>
    </font>
  </fonts>
  <fills count="8">
    <fill>
      <patternFill patternType="none"/>
    </fill>
    <fill>
      <patternFill patternType="gray125"/>
    </fill>
    <fill>
      <patternFill patternType="solid">
        <fgColor rgb="FFFBFAF6"/>
        <bgColor rgb="FFFFFFFF"/>
      </patternFill>
    </fill>
    <fill>
      <patternFill patternType="solid">
        <fgColor rgb="FFFAEEDA"/>
        <bgColor rgb="FFF1EFE8"/>
      </patternFill>
    </fill>
    <fill>
      <patternFill patternType="solid">
        <fgColor rgb="FF0F2A47"/>
        <bgColor rgb="FF2C2C2A"/>
      </patternFill>
    </fill>
    <fill>
      <patternFill patternType="solid">
        <fgColor rgb="FFF1EFE8"/>
        <bgColor rgb="FFFAEEDA"/>
      </patternFill>
    </fill>
    <fill>
      <patternFill patternType="solid">
        <fgColor rgb="FFE6F0FA"/>
        <bgColor rgb="FFF1EFE8"/>
      </patternFill>
    </fill>
    <fill>
      <patternFill patternType="solid">
        <fgColor rgb="FFFFFFFF"/>
        <bgColor rgb="FFFBFAF6"/>
      </patternFill>
    </fill>
  </fills>
  <borders count="5">
    <border diagonalUp="false" diagonalDown="false">
      <left/>
      <right/>
      <top/>
      <bottom/>
      <diagonal/>
    </border>
    <border diagonalUp="false" diagonalDown="false">
      <left/>
      <right/>
      <top style="medium">
        <color rgb="FFD85A30"/>
      </top>
      <bottom/>
      <diagonal/>
    </border>
    <border diagonalUp="false" diagonalDown="false">
      <left style="thin">
        <color rgb="FFD3D1C7"/>
      </left>
      <right style="thin">
        <color rgb="FFD3D1C7"/>
      </right>
      <top style="thin">
        <color rgb="FFD3D1C7"/>
      </top>
      <bottom style="thin">
        <color rgb="FFD3D1C7"/>
      </bottom>
      <diagonal/>
    </border>
    <border diagonalUp="false" diagonalDown="false">
      <left style="thick">
        <color rgb="FFB98D27"/>
      </left>
      <right style="thin">
        <color rgb="FFD3D1C7"/>
      </right>
      <top style="thin">
        <color rgb="FFD3D1C7"/>
      </top>
      <bottom style="thin">
        <color rgb="FFD3D1C7"/>
      </bottom>
      <diagonal/>
    </border>
    <border diagonalUp="false" diagonalDown="false">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false" indent="0" shrinkToFit="false"/>
      <protection locked="true" hidden="false"/>
    </xf>
    <xf numFmtId="164" fontId="14" fillId="5" borderId="2" xfId="0" applyFont="true" applyBorder="true" applyAlignment="true" applyProtection="false">
      <alignment horizontal="left" vertical="top" textRotation="0" wrapText="tru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left" vertical="center" textRotation="0" wrapText="true" indent="0" shrinkToFit="false"/>
      <protection locked="true" hidden="false"/>
    </xf>
    <xf numFmtId="165" fontId="17" fillId="7" borderId="2" xfId="0" applyFont="true" applyBorder="true" applyAlignment="true" applyProtection="false">
      <alignment horizontal="center" vertical="center" textRotation="0" wrapText="false" indent="0" shrinkToFit="false"/>
      <protection locked="true" hidden="false"/>
    </xf>
    <xf numFmtId="164" fontId="18" fillId="6"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6" fontId="17" fillId="7" borderId="2" xfId="0" applyFont="true" applyBorder="true" applyAlignment="true" applyProtection="false">
      <alignment horizontal="center" vertical="center" textRotation="0" wrapText="false" indent="0" shrinkToFit="false"/>
      <protection locked="true" hidden="false"/>
    </xf>
    <xf numFmtId="164" fontId="19" fillId="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D8EBC2"/>
        </patternFill>
      </fill>
    </dxf>
    <dxf>
      <fill>
        <patternFill>
          <bgColor rgb="FFF5C7C0"/>
        </patternFill>
      </fill>
    </dxf>
    <dxf>
      <fill>
        <patternFill>
          <bgColor rgb="FFE8E8E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98D27"/>
      <rgbColor rgb="FF800080"/>
      <rgbColor rgb="FF008080"/>
      <rgbColor rgb="FFD3D1C7"/>
      <rgbColor rgb="FF888780"/>
      <rgbColor rgb="FF9999FF"/>
      <rgbColor rgb="FF993366"/>
      <rgbColor rgb="FFFAEEDA"/>
      <rgbColor rgb="FFE6F0FA"/>
      <rgbColor rgb="FF660066"/>
      <rgbColor rgb="FFFF8080"/>
      <rgbColor rgb="FF0066CC"/>
      <rgbColor rgb="FFFBFAF6"/>
      <rgbColor rgb="FF000080"/>
      <rgbColor rgb="FFFF00FF"/>
      <rgbColor rgb="FFFFFF00"/>
      <rgbColor rgb="FF00FFFF"/>
      <rgbColor rgb="FF800080"/>
      <rgbColor rgb="FF800000"/>
      <rgbColor rgb="FF008080"/>
      <rgbColor rgb="FF0000FF"/>
      <rgbColor rgb="FF00CCFF"/>
      <rgbColor rgb="FFE8E8E8"/>
      <rgbColor rgb="FFD8EBC2"/>
      <rgbColor rgb="FFF1EFE8"/>
      <rgbColor rgb="FF99CCFF"/>
      <rgbColor rgb="FFFF99CC"/>
      <rgbColor rgb="FFCC99FF"/>
      <rgbColor rgb="FFF5C7C0"/>
      <rgbColor rgb="FF3366FF"/>
      <rgbColor rgb="FF33CCCC"/>
      <rgbColor rgb="FF99CC00"/>
      <rgbColor rgb="FFFFCC00"/>
      <rgbColor rgb="FFFF9900"/>
      <rgbColor rgb="FFD85A30"/>
      <rgbColor rgb="FF5F5E5A"/>
      <rgbColor rgb="FF969696"/>
      <rgbColor rgb="FF0F2A47"/>
      <rgbColor rgb="FF339966"/>
      <rgbColor rgb="FF003300"/>
      <rgbColor rgb="FF333300"/>
      <rgbColor rgb="FF993300"/>
      <rgbColor rgb="FF993366"/>
      <rgbColor rgb="FF333399"/>
      <rgbColor rgb="FF2C2C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60"/>
    <col collapsed="false" customWidth="true" hidden="false" outlineLevel="0" max="4" min="4" style="0" width="3"/>
  </cols>
  <sheetData>
    <row r="2" customFormat="false" ht="31.5" hidden="false" customHeight="true" outlineLevel="0" collapsed="false">
      <c r="B2" s="1" t="s">
        <v>0</v>
      </c>
      <c r="C2" s="1"/>
    </row>
    <row r="3" customFormat="false" ht="21.75" hidden="false" customHeight="true" outlineLevel="0" collapsed="false">
      <c r="B3" s="2" t="s">
        <v>1</v>
      </c>
      <c r="C3" s="2"/>
    </row>
    <row r="4" customFormat="false" ht="6" hidden="false" customHeight="true" outlineLevel="0" collapsed="false">
      <c r="B4" s="3"/>
      <c r="C4" s="3"/>
    </row>
    <row r="6" customFormat="false" ht="21.75" hidden="false" customHeight="true" outlineLevel="0" collapsed="false">
      <c r="B6" s="4" t="s">
        <v>2</v>
      </c>
      <c r="C6" s="4"/>
    </row>
    <row r="7" customFormat="false" ht="79.5" hidden="false" customHeight="true" outlineLevel="0" collapsed="false">
      <c r="C7" s="5" t="s">
        <v>3</v>
      </c>
    </row>
    <row r="9" customFormat="false" ht="21.75" hidden="false" customHeight="true" outlineLevel="0" collapsed="false">
      <c r="B9" s="4" t="s">
        <v>4</v>
      </c>
      <c r="C9" s="4"/>
    </row>
    <row r="10" customFormat="false" ht="33.75" hidden="false" customHeight="true" outlineLevel="0" collapsed="false">
      <c r="B10" s="6" t="s">
        <v>5</v>
      </c>
      <c r="C10" s="7" t="s">
        <v>6</v>
      </c>
    </row>
    <row r="11" customFormat="false" ht="33.75" hidden="false" customHeight="true" outlineLevel="0" collapsed="false">
      <c r="B11" s="6" t="s">
        <v>7</v>
      </c>
      <c r="C11" s="7" t="s">
        <v>8</v>
      </c>
    </row>
    <row r="12" customFormat="false" ht="33.75" hidden="false" customHeight="true" outlineLevel="0" collapsed="false">
      <c r="B12" s="6" t="s">
        <v>9</v>
      </c>
      <c r="C12" s="7" t="s">
        <v>10</v>
      </c>
    </row>
    <row r="14" customFormat="false" ht="60" hidden="false" customHeight="true" outlineLevel="0" collapsed="false">
      <c r="B14" s="8" t="s">
        <v>11</v>
      </c>
      <c r="C14" s="9" t="s">
        <v>12</v>
      </c>
    </row>
  </sheetData>
  <mergeCells count="4">
    <mergeCell ref="B2:C2"/>
    <mergeCell ref="B3:C3"/>
    <mergeCell ref="B6:C6"/>
    <mergeCell ref="B9:C9"/>
  </mergeCells>
  <printOptions headings="false" gridLines="false" gridLinesSet="true" horizontalCentered="true" verticalCentered="false"/>
  <pageMargins left="0.4" right="0.4" top="0.6" bottom="0.6"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&amp;C&amp;9 &amp;K888780M48-bis — Registre suivi insertions  ·  &amp;A  ·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12"/>
    <col collapsed="false" customWidth="true" hidden="false" outlineLevel="0" max="8" min="6" style="0" width="18"/>
    <col collapsed="false" customWidth="true" hidden="false" outlineLevel="0" max="9" min="9" style="0" width="16"/>
    <col collapsed="false" customWidth="true" hidden="false" outlineLevel="0" max="10" min="10" style="0" width="2"/>
  </cols>
  <sheetData>
    <row r="2" customFormat="false" ht="30" hidden="false" customHeight="true" outlineLevel="0" collapsed="false">
      <c r="B2" s="10" t="s">
        <v>13</v>
      </c>
      <c r="C2" s="10"/>
      <c r="D2" s="10"/>
      <c r="E2" s="10"/>
      <c r="F2" s="10"/>
      <c r="G2" s="10"/>
      <c r="H2" s="10"/>
      <c r="I2" s="10"/>
    </row>
    <row r="3" customFormat="false" ht="19.5" hidden="false" customHeight="true" outlineLevel="0" collapsed="false">
      <c r="B3" s="11" t="s">
        <v>14</v>
      </c>
      <c r="C3" s="11"/>
      <c r="D3" s="11"/>
      <c r="E3" s="11"/>
      <c r="F3" s="11"/>
      <c r="G3" s="11"/>
      <c r="H3" s="11"/>
      <c r="I3" s="11"/>
    </row>
    <row r="4" customFormat="false" ht="6" hidden="false" customHeight="true" outlineLevel="0" collapsed="false">
      <c r="B4" s="3"/>
      <c r="C4" s="3"/>
      <c r="D4" s="3"/>
      <c r="E4" s="3"/>
      <c r="F4" s="3"/>
      <c r="G4" s="3"/>
      <c r="H4" s="3"/>
      <c r="I4" s="3"/>
    </row>
    <row r="6" customFormat="false" ht="31.5" hidden="false" customHeight="true" outlineLevel="0" collapsed="false">
      <c r="B6" s="12" t="s">
        <v>15</v>
      </c>
      <c r="C6" s="12" t="s">
        <v>16</v>
      </c>
      <c r="D6" s="12" t="s">
        <v>17</v>
      </c>
      <c r="E6" s="12" t="s">
        <v>18</v>
      </c>
      <c r="F6" s="12" t="s">
        <v>19</v>
      </c>
      <c r="G6" s="12" t="s">
        <v>20</v>
      </c>
      <c r="H6" s="12" t="s">
        <v>21</v>
      </c>
      <c r="I6" s="12" t="s">
        <v>22</v>
      </c>
    </row>
    <row r="7" customFormat="false" ht="25.5" hidden="false" customHeight="true" outlineLevel="0" collapsed="false">
      <c r="B7" s="13" t="s">
        <v>23</v>
      </c>
      <c r="C7" s="14" t="s">
        <v>24</v>
      </c>
      <c r="D7" s="14" t="s">
        <v>25</v>
      </c>
      <c r="E7" s="14" t="s">
        <v>26</v>
      </c>
      <c r="F7" s="13" t="s">
        <v>27</v>
      </c>
      <c r="G7" s="14" t="s">
        <v>27</v>
      </c>
      <c r="H7" s="14" t="s">
        <v>28</v>
      </c>
      <c r="I7" s="14" t="s">
        <v>29</v>
      </c>
    </row>
    <row r="8" customFormat="false" ht="25.5" hidden="false" customHeight="true" outlineLevel="0" collapsed="false">
      <c r="B8" s="13" t="s">
        <v>30</v>
      </c>
      <c r="C8" s="14" t="s">
        <v>31</v>
      </c>
      <c r="D8" s="14" t="s">
        <v>32</v>
      </c>
      <c r="E8" s="14" t="s">
        <v>26</v>
      </c>
      <c r="F8" s="13" t="s">
        <v>27</v>
      </c>
      <c r="G8" s="14" t="s">
        <v>27</v>
      </c>
      <c r="H8" s="14" t="s">
        <v>28</v>
      </c>
      <c r="I8" s="14" t="s">
        <v>33</v>
      </c>
    </row>
    <row r="9" customFormat="false" ht="25.5" hidden="false" customHeight="true" outlineLevel="0" collapsed="false">
      <c r="B9" s="13" t="s">
        <v>34</v>
      </c>
      <c r="C9" s="14" t="s">
        <v>35</v>
      </c>
      <c r="D9" s="14" t="s">
        <v>36</v>
      </c>
      <c r="E9" s="14" t="s">
        <v>26</v>
      </c>
      <c r="F9" s="13" t="s">
        <v>37</v>
      </c>
      <c r="G9" s="14" t="s">
        <v>37</v>
      </c>
      <c r="H9" s="14" t="s">
        <v>28</v>
      </c>
      <c r="I9" s="14" t="s">
        <v>38</v>
      </c>
    </row>
    <row r="10" customFormat="false" ht="25.5" hidden="false" customHeight="true" outlineLevel="0" collapsed="false">
      <c r="B10" s="13" t="s">
        <v>39</v>
      </c>
      <c r="C10" s="14" t="s">
        <v>40</v>
      </c>
      <c r="D10" s="14" t="s">
        <v>41</v>
      </c>
      <c r="E10" s="14" t="s">
        <v>42</v>
      </c>
      <c r="F10" s="13" t="s">
        <v>43</v>
      </c>
      <c r="G10" s="14" t="s">
        <v>27</v>
      </c>
      <c r="H10" s="14" t="s">
        <v>44</v>
      </c>
      <c r="I10" s="14" t="s">
        <v>45</v>
      </c>
    </row>
    <row r="11" customFormat="false" ht="25.5" hidden="false" customHeight="true" outlineLevel="0" collapsed="false">
      <c r="B11" s="13" t="s">
        <v>46</v>
      </c>
      <c r="C11" s="14" t="s">
        <v>47</v>
      </c>
      <c r="D11" s="14" t="s">
        <v>25</v>
      </c>
      <c r="E11" s="14" t="s">
        <v>26</v>
      </c>
      <c r="F11" s="13" t="s">
        <v>27</v>
      </c>
      <c r="G11" s="14" t="s">
        <v>27</v>
      </c>
      <c r="H11" s="14" t="s">
        <v>48</v>
      </c>
      <c r="I11" s="14" t="s">
        <v>29</v>
      </c>
    </row>
    <row r="12" customFormat="false" ht="24" hidden="false" customHeight="true" outlineLevel="0" collapsed="false">
      <c r="B12" s="15"/>
      <c r="C12" s="15"/>
      <c r="D12" s="15"/>
      <c r="E12" s="15"/>
      <c r="F12" s="15"/>
      <c r="G12" s="15"/>
      <c r="H12" s="15"/>
      <c r="I12" s="15"/>
    </row>
    <row r="13" customFormat="false" ht="24" hidden="false" customHeight="true" outlineLevel="0" collapsed="false">
      <c r="B13" s="15"/>
      <c r="C13" s="15"/>
      <c r="D13" s="15"/>
      <c r="E13" s="15"/>
      <c r="F13" s="15"/>
      <c r="G13" s="15"/>
      <c r="H13" s="15"/>
      <c r="I13" s="15"/>
    </row>
    <row r="14" customFormat="false" ht="24" hidden="false" customHeight="true" outlineLevel="0" collapsed="false">
      <c r="B14" s="15"/>
      <c r="C14" s="15"/>
      <c r="D14" s="15"/>
      <c r="E14" s="15"/>
      <c r="F14" s="15"/>
      <c r="G14" s="15"/>
      <c r="H14" s="15"/>
      <c r="I14" s="15"/>
    </row>
    <row r="15" customFormat="false" ht="24" hidden="false" customHeight="true" outlineLevel="0" collapsed="false">
      <c r="B15" s="15"/>
      <c r="C15" s="15"/>
      <c r="D15" s="15"/>
      <c r="E15" s="15"/>
      <c r="F15" s="15"/>
      <c r="G15" s="15"/>
      <c r="H15" s="15"/>
      <c r="I15" s="15"/>
    </row>
    <row r="16" customFormat="false" ht="24" hidden="false" customHeight="true" outlineLevel="0" collapsed="false">
      <c r="B16" s="15"/>
      <c r="C16" s="15"/>
      <c r="D16" s="15"/>
      <c r="E16" s="15"/>
      <c r="F16" s="15"/>
      <c r="G16" s="15"/>
      <c r="H16" s="15"/>
      <c r="I16" s="15"/>
    </row>
    <row r="17" customFormat="false" ht="24" hidden="false" customHeight="true" outlineLevel="0" collapsed="false">
      <c r="B17" s="15"/>
      <c r="C17" s="15"/>
      <c r="D17" s="15"/>
      <c r="E17" s="15"/>
      <c r="F17" s="15"/>
      <c r="G17" s="15"/>
      <c r="H17" s="15"/>
      <c r="I17" s="15"/>
    </row>
    <row r="18" customFormat="false" ht="24" hidden="false" customHeight="true" outlineLevel="0" collapsed="false">
      <c r="B18" s="15"/>
      <c r="C18" s="15"/>
      <c r="D18" s="15"/>
      <c r="E18" s="15"/>
      <c r="F18" s="15"/>
      <c r="G18" s="15"/>
      <c r="H18" s="15"/>
      <c r="I18" s="15"/>
    </row>
    <row r="19" customFormat="false" ht="24" hidden="false" customHeight="true" outlineLevel="0" collapsed="false">
      <c r="B19" s="15"/>
      <c r="C19" s="15"/>
      <c r="D19" s="15"/>
      <c r="E19" s="15"/>
      <c r="F19" s="15"/>
      <c r="G19" s="15"/>
      <c r="H19" s="15"/>
      <c r="I19" s="15"/>
    </row>
    <row r="20" customFormat="false" ht="24" hidden="false" customHeight="true" outlineLevel="0" collapsed="false">
      <c r="B20" s="15"/>
      <c r="C20" s="15"/>
      <c r="D20" s="15"/>
      <c r="E20" s="15"/>
      <c r="F20" s="15"/>
      <c r="G20" s="15"/>
      <c r="H20" s="15"/>
      <c r="I20" s="15"/>
    </row>
    <row r="21" customFormat="false" ht="24" hidden="false" customHeight="true" outlineLevel="0" collapsed="false">
      <c r="B21" s="15"/>
      <c r="C21" s="15"/>
      <c r="D21" s="15"/>
      <c r="E21" s="15"/>
      <c r="F21" s="15"/>
      <c r="G21" s="15"/>
      <c r="H21" s="15"/>
      <c r="I21" s="15"/>
    </row>
    <row r="22" customFormat="false" ht="24" hidden="false" customHeight="true" outlineLevel="0" collapsed="false">
      <c r="B22" s="15"/>
      <c r="C22" s="15"/>
      <c r="D22" s="15"/>
      <c r="E22" s="15"/>
      <c r="F22" s="15"/>
      <c r="G22" s="15"/>
      <c r="H22" s="15"/>
      <c r="I22" s="15"/>
    </row>
    <row r="23" customFormat="false" ht="24" hidden="false" customHeight="true" outlineLevel="0" collapsed="false">
      <c r="B23" s="15"/>
      <c r="C23" s="15"/>
      <c r="D23" s="15"/>
      <c r="E23" s="15"/>
      <c r="F23" s="15"/>
      <c r="G23" s="15"/>
      <c r="H23" s="15"/>
      <c r="I23" s="15"/>
    </row>
    <row r="24" customFormat="false" ht="24" hidden="false" customHeight="true" outlineLevel="0" collapsed="false">
      <c r="B24" s="15"/>
      <c r="C24" s="15"/>
      <c r="D24" s="15"/>
      <c r="E24" s="15"/>
      <c r="F24" s="15"/>
      <c r="G24" s="15"/>
      <c r="H24" s="15"/>
      <c r="I24" s="15"/>
    </row>
    <row r="25" customFormat="false" ht="24" hidden="false" customHeight="true" outlineLevel="0" collapsed="false">
      <c r="B25" s="15"/>
      <c r="C25" s="15"/>
      <c r="D25" s="15"/>
      <c r="E25" s="15"/>
      <c r="F25" s="15"/>
      <c r="G25" s="15"/>
      <c r="H25" s="15"/>
      <c r="I25" s="15"/>
    </row>
    <row r="26" customFormat="false" ht="24" hidden="false" customHeight="true" outlineLevel="0" collapsed="false">
      <c r="B26" s="15"/>
      <c r="C26" s="15"/>
      <c r="D26" s="15"/>
      <c r="E26" s="15"/>
      <c r="F26" s="15"/>
      <c r="G26" s="15"/>
      <c r="H26" s="15"/>
      <c r="I26" s="15"/>
    </row>
    <row r="27" customFormat="false" ht="24" hidden="false" customHeight="true" outlineLevel="0" collapsed="false">
      <c r="B27" s="15"/>
      <c r="C27" s="15"/>
      <c r="D27" s="15"/>
      <c r="E27" s="15"/>
      <c r="F27" s="15"/>
      <c r="G27" s="15"/>
      <c r="H27" s="15"/>
      <c r="I27" s="15"/>
    </row>
    <row r="28" customFormat="false" ht="24" hidden="false" customHeight="true" outlineLevel="0" collapsed="false">
      <c r="B28" s="15"/>
      <c r="C28" s="15"/>
      <c r="D28" s="15"/>
      <c r="E28" s="15"/>
      <c r="F28" s="15"/>
      <c r="G28" s="15"/>
      <c r="H28" s="15"/>
      <c r="I28" s="15"/>
    </row>
    <row r="29" customFormat="false" ht="24" hidden="false" customHeight="true" outlineLevel="0" collapsed="false">
      <c r="B29" s="15"/>
      <c r="C29" s="15"/>
      <c r="D29" s="15"/>
      <c r="E29" s="15"/>
      <c r="F29" s="15"/>
      <c r="G29" s="15"/>
      <c r="H29" s="15"/>
      <c r="I29" s="15"/>
    </row>
    <row r="30" customFormat="false" ht="24" hidden="false" customHeight="true" outlineLevel="0" collapsed="false">
      <c r="B30" s="15"/>
      <c r="C30" s="15"/>
      <c r="D30" s="15"/>
      <c r="E30" s="15"/>
      <c r="F30" s="15"/>
      <c r="G30" s="15"/>
      <c r="H30" s="15"/>
      <c r="I30" s="15"/>
    </row>
    <row r="31" customFormat="false" ht="24" hidden="false" customHeight="true" outlineLevel="0" collapsed="false">
      <c r="B31" s="15"/>
      <c r="C31" s="15"/>
      <c r="D31" s="15"/>
      <c r="E31" s="15"/>
      <c r="F31" s="15"/>
      <c r="G31" s="15"/>
      <c r="H31" s="15"/>
      <c r="I31" s="15"/>
    </row>
    <row r="32" customFormat="false" ht="24" hidden="false" customHeight="true" outlineLevel="0" collapsed="false">
      <c r="B32" s="15"/>
      <c r="C32" s="15"/>
      <c r="D32" s="15"/>
      <c r="E32" s="15"/>
      <c r="F32" s="15"/>
      <c r="G32" s="15"/>
      <c r="H32" s="15"/>
      <c r="I32" s="15"/>
    </row>
    <row r="33" customFormat="false" ht="24" hidden="false" customHeight="true" outlineLevel="0" collapsed="false">
      <c r="B33" s="15"/>
      <c r="C33" s="15"/>
      <c r="D33" s="15"/>
      <c r="E33" s="15"/>
      <c r="F33" s="15"/>
      <c r="G33" s="15"/>
      <c r="H33" s="15"/>
      <c r="I33" s="15"/>
    </row>
    <row r="34" customFormat="false" ht="24" hidden="false" customHeight="true" outlineLevel="0" collapsed="false">
      <c r="B34" s="15"/>
      <c r="C34" s="15"/>
      <c r="D34" s="15"/>
      <c r="E34" s="15"/>
      <c r="F34" s="15"/>
      <c r="G34" s="15"/>
      <c r="H34" s="15"/>
      <c r="I34" s="15"/>
    </row>
    <row r="35" customFormat="false" ht="24" hidden="false" customHeight="true" outlineLevel="0" collapsed="false">
      <c r="B35" s="15"/>
      <c r="C35" s="15"/>
      <c r="D35" s="15"/>
      <c r="E35" s="15"/>
      <c r="F35" s="15"/>
      <c r="G35" s="15"/>
      <c r="H35" s="15"/>
      <c r="I35" s="15"/>
    </row>
    <row r="36" customFormat="false" ht="24" hidden="false" customHeight="true" outlineLevel="0" collapsed="false">
      <c r="B36" s="15"/>
      <c r="C36" s="15"/>
      <c r="D36" s="15"/>
      <c r="E36" s="15"/>
      <c r="F36" s="15"/>
      <c r="G36" s="15"/>
      <c r="H36" s="15"/>
      <c r="I36" s="15"/>
    </row>
  </sheetData>
  <mergeCells count="2">
    <mergeCell ref="B2:I2"/>
    <mergeCell ref="B3:I3"/>
  </mergeCells>
  <conditionalFormatting sqref="G12:G36">
    <cfRule type="expression" priority="2" aboveAverage="0" equalAverage="0" bottom="0" percent="0" rank="0" text="" dxfId="0">
      <formula>G12="Emploi"</formula>
    </cfRule>
    <cfRule type="expression" priority="3" aboveAverage="0" equalAverage="0" bottom="0" percent="0" rank="0" text="" dxfId="0">
      <formula>G12="Poursuite études"</formula>
    </cfRule>
    <cfRule type="expression" priority="4" aboveAverage="0" equalAverage="0" bottom="0" percent="0" rank="0" text="" dxfId="1">
      <formula>G12="Recherche emploi"</formula>
    </cfRule>
    <cfRule type="expression" priority="5" aboveAverage="0" equalAverage="0" bottom="0" percent="0" rank="0" text="" dxfId="2">
      <formula>G12="Non répondu"</formula>
    </cfRule>
  </conditionalFormatting>
  <dataValidations count="4">
    <dataValidation allowBlank="true" errorStyle="stop" operator="between" showDropDown="false" showErrorMessage="false" showInputMessage="false" sqref="E12:E36" type="list">
      <formula1>"✓ Oui,❌ Non,⏳ En cours"</formula1>
      <formula2>0</formula2>
    </dataValidation>
    <dataValidation allowBlank="true" errorStyle="stop" operator="between" showDropDown="false" showErrorMessage="false" showInputMessage="false" sqref="F12:G36" type="list">
      <formula1>"Emploi,Recherche emploi,Poursuite études,Autre,Non répondu"</formula1>
      <formula2>0</formula2>
    </dataValidation>
    <dataValidation allowBlank="true" errorStyle="stop" operator="between" showDropDown="false" showErrorMessage="false" showInputMessage="false" sqref="H12:H36" type="list">
      <formula1>"Oui totalement,Partiellement,Non,N/A"</formula1>
      <formula2>0</formula2>
    </dataValidation>
    <dataValidation allowBlank="true" errorStyle="stop" operator="between" showDropDown="false" showErrorMessage="false" showInputMessage="false" sqref="I12:I36" type="list">
      <formula1>"CDI,CDD,Intérim,Indépendant,Alternance,Sans objet"</formula1>
      <formula2>0</formula2>
    </dataValidation>
  </dataValidation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&amp;K888780M48-bis — Registre suivi insertions  ·  &amp;A  ·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5" min="3" style="0" width="16"/>
    <col collapsed="false" customWidth="true" hidden="false" outlineLevel="0" max="6" min="6" style="0" width="2"/>
  </cols>
  <sheetData>
    <row r="2" customFormat="false" ht="30" hidden="false" customHeight="true" outlineLevel="0" collapsed="false">
      <c r="B2" s="10" t="s">
        <v>49</v>
      </c>
      <c r="C2" s="10"/>
      <c r="D2" s="10"/>
      <c r="E2" s="10"/>
    </row>
    <row r="3" customFormat="false" ht="19.5" hidden="false" customHeight="true" outlineLevel="0" collapsed="false">
      <c r="B3" s="11" t="s">
        <v>50</v>
      </c>
      <c r="C3" s="11"/>
      <c r="D3" s="11"/>
      <c r="E3" s="11"/>
    </row>
    <row r="4" customFormat="false" ht="6" hidden="false" customHeight="true" outlineLevel="0" collapsed="false">
      <c r="B4" s="3"/>
      <c r="C4" s="3"/>
      <c r="D4" s="3"/>
      <c r="E4" s="3"/>
    </row>
    <row r="6" customFormat="false" ht="30" hidden="false" customHeight="true" outlineLevel="0" collapsed="false">
      <c r="B6" s="16" t="s">
        <v>51</v>
      </c>
      <c r="C6" s="16" t="s">
        <v>52</v>
      </c>
      <c r="D6" s="16" t="s">
        <v>53</v>
      </c>
      <c r="E6" s="16" t="s">
        <v>54</v>
      </c>
    </row>
    <row r="7" customFormat="false" ht="30" hidden="false" customHeight="true" outlineLevel="0" collapsed="false">
      <c r="B7" s="17" t="s">
        <v>55</v>
      </c>
      <c r="C7" s="18" t="n">
        <f aca="false">COUNTA('📋 Suivi des sortants'!C12:C36)</f>
        <v>0</v>
      </c>
      <c r="D7" s="19" t="s">
        <v>56</v>
      </c>
      <c r="E7" s="20" t="s">
        <v>57</v>
      </c>
    </row>
    <row r="8" customFormat="false" ht="30" hidden="false" customHeight="true" outlineLevel="0" collapsed="false">
      <c r="B8" s="17" t="s">
        <v>58</v>
      </c>
      <c r="C8" s="21" t="n">
        <f aca="false">IFERROR(COUNTIF('📋 Suivi des sortants'!E12:E36,"✓ Oui")/COUNTA('📋 Suivi des sortants'!C12:C36),0)</f>
        <v>0</v>
      </c>
      <c r="D8" s="19" t="s">
        <v>59</v>
      </c>
      <c r="E8" s="20" t="s">
        <v>57</v>
      </c>
    </row>
    <row r="9" customFormat="false" ht="30" hidden="false" customHeight="true" outlineLevel="0" collapsed="false">
      <c r="B9" s="17" t="s">
        <v>60</v>
      </c>
      <c r="C9" s="21" t="n">
        <f aca="false">IFERROR(COUNTIF('📋 Suivi des sortants'!G12:G36,"Emploi")/COUNTA('📋 Suivi des sortants'!C12:C36),0)</f>
        <v>0</v>
      </c>
      <c r="D9" s="19" t="s">
        <v>59</v>
      </c>
      <c r="E9" s="20" t="s">
        <v>57</v>
      </c>
    </row>
    <row r="10" customFormat="false" ht="30" hidden="false" customHeight="true" outlineLevel="0" collapsed="false">
      <c r="B10" s="17" t="s">
        <v>61</v>
      </c>
      <c r="C10" s="21" t="n">
        <f aca="false">IFERROR(COUNTIF('📋 Suivi des sortants'!G12:G36,"Poursuite études")/COUNTA('📋 Suivi des sortants'!C12:C36),0)</f>
        <v>0</v>
      </c>
      <c r="D10" s="19" t="s">
        <v>59</v>
      </c>
      <c r="E10" s="20" t="s">
        <v>57</v>
      </c>
    </row>
    <row r="11" customFormat="false" ht="30" hidden="false" customHeight="true" outlineLevel="0" collapsed="false">
      <c r="B11" s="17" t="s">
        <v>62</v>
      </c>
      <c r="C11" s="21" t="n">
        <f aca="false">IFERROR((COUNTIF('📋 Suivi des sortants'!G12:G36,"Emploi")+COUNTIF('📋 Suivi des sortants'!G12:G36,"Poursuite études"))/COUNTA('📋 Suivi des sortants'!C12:C36),0)</f>
        <v>0</v>
      </c>
      <c r="D11" s="19" t="s">
        <v>59</v>
      </c>
      <c r="E11" s="20" t="s">
        <v>57</v>
      </c>
    </row>
    <row r="12" customFormat="false" ht="30" hidden="false" customHeight="true" outlineLevel="0" collapsed="false">
      <c r="B12" s="17" t="s">
        <v>63</v>
      </c>
      <c r="C12" s="21" t="n">
        <f aca="false">IFERROR(COUNTIF('📋 Suivi des sortants'!H12:H36,"Oui totalement")/COUNTA('📋 Suivi des sortants'!C12:C36),0)</f>
        <v>0</v>
      </c>
      <c r="D12" s="19" t="s">
        <v>59</v>
      </c>
      <c r="E12" s="20" t="s">
        <v>57</v>
      </c>
    </row>
    <row r="14" customFormat="false" ht="55.5" hidden="false" customHeight="true" outlineLevel="0" collapsed="false">
      <c r="B14" s="8" t="s">
        <v>64</v>
      </c>
      <c r="C14" s="9" t="s">
        <v>65</v>
      </c>
      <c r="D14" s="9"/>
      <c r="E14" s="9"/>
    </row>
  </sheetData>
  <mergeCells count="3">
    <mergeCell ref="B2:E2"/>
    <mergeCell ref="B3:E3"/>
    <mergeCell ref="C14:E14"/>
  </mergeCells>
  <printOptions headings="false" gridLines="false" gridLinesSet="true" horizontalCentered="true" verticalCentered="false"/>
  <pageMargins left="0.4" right="0.4" top="0.6" bottom="0.6"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&amp;C&amp;9 &amp;K888780M48-bis — Registre suivi insertions  ·  &amp;A  ·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40"/>
    <col collapsed="false" customWidth="true" hidden="false" outlineLevel="0" max="4" min="4" style="0" width="2"/>
  </cols>
  <sheetData>
    <row r="2" customFormat="false" ht="30" hidden="false" customHeight="true" outlineLevel="0" collapsed="false">
      <c r="B2" s="10" t="s">
        <v>66</v>
      </c>
      <c r="C2" s="10"/>
    </row>
    <row r="3" customFormat="false" ht="19.5" hidden="false" customHeight="true" outlineLevel="0" collapsed="false">
      <c r="B3" s="11" t="s">
        <v>67</v>
      </c>
      <c r="C3" s="11"/>
    </row>
    <row r="4" customFormat="false" ht="6" hidden="false" customHeight="true" outlineLevel="0" collapsed="false">
      <c r="B4" s="3"/>
      <c r="C4" s="3"/>
    </row>
    <row r="6" customFormat="false" ht="48" hidden="false" customHeight="true" outlineLevel="0" collapsed="false">
      <c r="B6" s="17" t="s">
        <v>68</v>
      </c>
      <c r="C6" s="22" t="s">
        <v>69</v>
      </c>
    </row>
    <row r="7" customFormat="false" ht="48" hidden="false" customHeight="true" outlineLevel="0" collapsed="false">
      <c r="B7" s="17" t="s">
        <v>70</v>
      </c>
      <c r="C7" s="22" t="s">
        <v>71</v>
      </c>
    </row>
    <row r="8" customFormat="false" ht="48" hidden="false" customHeight="true" outlineLevel="0" collapsed="false">
      <c r="B8" s="17" t="s">
        <v>72</v>
      </c>
      <c r="C8" s="22" t="s">
        <v>73</v>
      </c>
    </row>
    <row r="9" customFormat="false" ht="48" hidden="false" customHeight="true" outlineLevel="0" collapsed="false">
      <c r="B9" s="17" t="s">
        <v>74</v>
      </c>
      <c r="C9" s="22" t="s">
        <v>75</v>
      </c>
    </row>
    <row r="10" customFormat="false" ht="48" hidden="false" customHeight="true" outlineLevel="0" collapsed="false">
      <c r="B10" s="17" t="s">
        <v>76</v>
      </c>
      <c r="C10" s="22" t="s">
        <v>77</v>
      </c>
    </row>
    <row r="11" customFormat="false" ht="48" hidden="false" customHeight="true" outlineLevel="0" collapsed="false">
      <c r="B11" s="17" t="s">
        <v>78</v>
      </c>
      <c r="C11" s="22" t="s">
        <v>79</v>
      </c>
    </row>
    <row r="12" customFormat="false" ht="48" hidden="false" customHeight="true" outlineLevel="0" collapsed="false">
      <c r="B12" s="17" t="s">
        <v>80</v>
      </c>
      <c r="C12" s="22" t="s">
        <v>81</v>
      </c>
    </row>
  </sheetData>
  <mergeCells count="2">
    <mergeCell ref="B2:C2"/>
    <mergeCell ref="B3:C3"/>
  </mergeCells>
  <printOptions headings="false" gridLines="false" gridLinesSet="true" horizontalCentered="true" verticalCentered="false"/>
  <pageMargins left="0.4" right="0.4" top="0.6" bottom="0.6"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&amp;C&amp;9 &amp;K888780M48-bis — Registre suivi insertions  ·  &amp;A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2026-05-16T17:13:13Z</dcterms:created>
  <dc:creator>openpyxl</dc:creator>
  <dc:description/>
  <dc:language>en-US</dc:language>
  <cp:lastModifiedBy/>
  <dcterms:modified xsi:type="dcterms:W3CDTF">2026-05-16T17:13:13Z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