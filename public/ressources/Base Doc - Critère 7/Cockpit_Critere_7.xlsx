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Accueil" sheetId="1" state="visible" r:id="rId3"/>
    <sheet name="❓ Questionnaires réf" sheetId="2" state="visible" r:id="rId4"/>
    <sheet name="🔥 Saisie Bénéficiaire" sheetId="3" state="visible" r:id="rId5"/>
    <sheet name="🎓 Saisie Formateur" sheetId="4" state="visible" r:id="rId6"/>
    <sheet name="🤝 Saisie Entreprise" sheetId="5" state="visible" r:id="rId7"/>
    <sheet name="📊 Synthèse Satisf" sheetId="6" state="visible" r:id="rId8"/>
    <sheet name="📋 Réclamations" sheetId="7" state="visible" r:id="rId9"/>
    <sheet name="📈 PAQ" sheetId="8" state="visible" r:id="rId10"/>
    <sheet name="🔄 Revues qualité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Arial"/>
            <family val="2"/>
          </rPr>
          <t xml:space="preserve">Objectifs atteints</t>
        </r>
      </text>
    </comment>
    <comment ref="H7" authorId="0">
      <text>
        <r>
          <rPr>
            <sz val="10"/>
            <rFont val="Arial"/>
            <family val="2"/>
          </rPr>
          <t xml:space="preserve">Contenu vs attentes</t>
        </r>
      </text>
    </comment>
    <comment ref="I7" authorId="0">
      <text>
        <r>
          <rPr>
            <sz val="10"/>
            <rFont val="Arial"/>
            <family val="2"/>
          </rPr>
          <t xml:space="preserve">Animation/expertise formateur</t>
        </r>
      </text>
    </comment>
    <comment ref="J7" authorId="0">
      <text>
        <r>
          <rPr>
            <sz val="10"/>
            <rFont val="Arial"/>
            <family val="2"/>
          </rPr>
          <t xml:space="preserve">Clarté explications/supports</t>
        </r>
      </text>
    </comment>
    <comment ref="K7" authorId="0">
      <text>
        <r>
          <rPr>
            <sz val="10"/>
            <rFont val="Arial"/>
            <family val="2"/>
          </rPr>
          <t xml:space="preserve">Rythme théorie/pratique</t>
        </r>
      </text>
    </comment>
    <comment ref="L7" authorId="0">
      <text>
        <r>
          <rPr>
            <sz val="10"/>
            <rFont val="Arial"/>
            <family val="2"/>
          </rPr>
          <t xml:space="preserve">Accueil &amp; info amont</t>
        </r>
      </text>
    </comment>
    <comment ref="M7" authorId="0">
      <text>
        <r>
          <rPr>
            <sz val="10"/>
            <rFont val="Arial"/>
            <family val="2"/>
          </rPr>
          <t xml:space="preserve">Conditions matérielles</t>
        </r>
      </text>
    </comment>
    <comment ref="N7" authorId="0">
      <text>
        <r>
          <rPr>
            <sz val="10"/>
            <rFont val="Arial"/>
            <family val="2"/>
          </rPr>
          <t xml:space="preserve">Respect horaires/programme</t>
        </r>
      </text>
    </comment>
    <comment ref="O7" authorId="0">
      <text>
        <r>
          <rPr>
            <sz val="10"/>
            <rFont val="Arial"/>
            <family val="2"/>
          </rPr>
          <t xml:space="preserve">[Froid] Mise en pratique (impact)</t>
        </r>
      </text>
    </comment>
    <comment ref="P7" authorId="0">
      <text>
        <r>
          <rPr>
            <sz val="10"/>
            <rFont val="Arial"/>
            <family val="2"/>
          </rPr>
          <t xml:space="preserve">[Froid] Réponse aux besoins (recul)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Clarté objectifs/cahier des charges</t>
        </r>
      </text>
    </comment>
    <comment ref="F7" authorId="0">
      <text>
        <r>
          <rPr>
            <sz val="10"/>
            <rFont val="Arial"/>
            <family val="2"/>
          </rPr>
          <t xml:space="preserve">Adéquation programme/public</t>
        </r>
      </text>
    </comment>
    <comment ref="G7" authorId="0">
      <text>
        <r>
          <rPr>
            <sz val="10"/>
            <rFont val="Arial"/>
            <family val="2"/>
          </rPr>
          <t xml:space="preserve">Qualité supports/ressources</t>
        </r>
      </text>
    </comment>
    <comment ref="H7" authorId="0">
      <text>
        <r>
          <rPr>
            <sz val="10"/>
            <rFont val="Arial"/>
            <family val="2"/>
          </rPr>
          <t xml:space="preserve">Conditions techniques d'intervention</t>
        </r>
      </text>
    </comment>
    <comment ref="I7" authorId="0">
      <text>
        <r>
          <rPr>
            <sz val="10"/>
            <rFont val="Arial"/>
            <family val="2"/>
          </rPr>
          <t xml:space="preserve">Qualité coordination pédagogique</t>
        </r>
      </text>
    </comment>
    <comment ref="J7" authorId="0">
      <text>
        <r>
          <rPr>
            <sz val="10"/>
            <rFont val="Arial"/>
            <family val="2"/>
          </rPr>
          <t xml:space="preserve">Niveau préparation bénéficiaires</t>
        </r>
      </text>
    </comment>
    <comment ref="K7" authorId="0">
      <text>
        <r>
          <rPr>
            <sz val="10"/>
            <rFont val="Arial"/>
            <family val="2"/>
          </rPr>
          <t xml:space="preserve">Soutien organisme si difficulté</t>
        </r>
      </text>
    </comment>
    <comment ref="L7" authorId="0">
      <text>
        <r>
          <rPr>
            <sz val="10"/>
            <rFont val="Arial"/>
            <family val="2"/>
          </rPr>
          <t xml:space="preserve">Satisfaction globale collaboration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Arial"/>
            <family val="2"/>
          </rPr>
          <t xml:space="preserve">Réponse au besoin exprimé</t>
        </r>
      </text>
    </comment>
    <comment ref="H7" authorId="0">
      <text>
        <r>
          <rPr>
            <sz val="10"/>
            <rFont val="Arial"/>
            <family val="2"/>
          </rPr>
          <t xml:space="preserve">Qualité relation/communication</t>
        </r>
      </text>
    </comment>
    <comment ref="I7" authorId="0">
      <text>
        <r>
          <rPr>
            <sz val="10"/>
            <rFont val="Arial"/>
            <family val="2"/>
          </rPr>
          <t xml:space="preserve">Effets sur collaborateur(s)</t>
        </r>
      </text>
    </comment>
    <comment ref="J7" authorId="0">
      <text>
        <r>
          <rPr>
            <sz val="10"/>
            <rFont val="Arial"/>
            <family val="2"/>
          </rPr>
          <t xml:space="preserve">Qualité administrative</t>
        </r>
      </text>
    </comment>
    <comment ref="K7" authorId="0">
      <text>
        <r>
          <rPr>
            <sz val="10"/>
            <rFont val="Arial"/>
            <family val="2"/>
          </rPr>
          <t xml:space="preserve">Respect des engagements</t>
        </r>
      </text>
    </comment>
    <comment ref="L7" authorId="0">
      <text>
        <r>
          <rPr>
            <sz val="10"/>
            <rFont val="Arial"/>
            <family val="2"/>
          </rPr>
          <t xml:space="preserve">[CFA] Progression apprenti / lien CFA-entreprise</t>
        </r>
      </text>
    </comment>
  </commentList>
</comments>
</file>

<file path=xl/sharedStrings.xml><?xml version="1.0" encoding="utf-8"?>
<sst xmlns="http://schemas.openxmlformats.org/spreadsheetml/2006/main" count="311" uniqueCount="196">
  <si>
    <t xml:space="preserve">COCKPIT CRITÈRE 7 — AMÉLIORATION CONTINUE</t>
  </si>
  <si>
    <t xml:space="preserve">Classeur unique navigable — Ind. 30 (appréciations) · Ind. 31 (réclamations) · Ind. 32 (amélioration)</t>
  </si>
  <si>
    <t xml:space="preserve">NAVIGATION</t>
  </si>
  <si>
    <t xml:space="preserve">❓ Questionnaires (réf.)</t>
  </si>
  <si>
    <t xml:space="preserve">🔥 Saisie Bénéficiaire</t>
  </si>
  <si>
    <t xml:space="preserve">🎓 Saisie Formateur/Équipe</t>
  </si>
  <si>
    <t xml:space="preserve">🤝 Saisie Entreprise/Financeur</t>
  </si>
  <si>
    <t xml:space="preserve">📊 Synthèse Satisfaction</t>
  </si>
  <si>
    <t xml:space="preserve">📋 Registre Réclamations</t>
  </si>
  <si>
    <t xml:space="preserve">📈 Plan d'Amélioration (PAQ)</t>
  </si>
  <si>
    <t xml:space="preserve">🔄 Revues qualité</t>
  </si>
  <si>
    <t xml:space="preserve">🎯 TABLEAU DE BORD GLOBAL CRITÈRE 7</t>
  </si>
  <si>
    <t xml:space="preserve">Indicateur</t>
  </si>
  <si>
    <t xml:space="preserve">Valeur</t>
  </si>
  <si>
    <t xml:space="preserve">Ind. 30 — Note globale satisfaction (/5)</t>
  </si>
  <si>
    <t xml:space="preserve">Ind. 30 — Taux de recommandation</t>
  </si>
  <si>
    <t xml:space="preserve">Ind. 31 — Réclamations clôturées / total</t>
  </si>
  <si>
    <t xml:space="preserve">Ind. 31 — Réclamations en retard (alerte)</t>
  </si>
  <si>
    <t xml:space="preserve">Ind. 32 — Taux de réalisation du PAQ</t>
  </si>
  <si>
    <t xml:space="preserve">Ind. 32 — Actions PAQ en retard (alerte)</t>
  </si>
  <si>
    <t xml:space="preserve">💡 Comment utiliser ce cockpit</t>
  </si>
  <si>
    <t xml:space="preserve">1) Onglet « Questionnaires réf » = les 3 trames à diffuser. 2) Saisir les retours dans les 3 onglets de saisie (Bénéficiaire / Formateur / Entreprise). 3) Les moyennes par item se calculent seules. 4) Réclamations + PAQ tracés dans leurs onglets. 5) Ce tableau de bord se met à jour automatiquement. Cliquez sur les boutons orange pour naviguer.</t>
  </si>
  <si>
    <t xml:space="preserve">← Retour à l'accueil</t>
  </si>
  <si>
    <t xml:space="preserve">❓ QUESTIONNAIRES — RÉFÉRENTIEL</t>
  </si>
  <si>
    <t xml:space="preserve">Les 3 trames à diffuser — échelle 1 (Très insatisfait) à 5 (Très satisfait)</t>
  </si>
  <si>
    <t xml:space="preserve">1 · QUESTIONNAIRE BÉNÉFICIAIRE (à chaud + à froid)</t>
  </si>
  <si>
    <t xml:space="preserve">#</t>
  </si>
  <si>
    <t xml:space="preserve">Question</t>
  </si>
  <si>
    <t xml:space="preserve">Type</t>
  </si>
  <si>
    <t xml:space="preserve">Les objectifs annoncés ont-ils été atteints ?</t>
  </si>
  <si>
    <t xml:space="preserve">Note 1-5</t>
  </si>
  <si>
    <t xml:space="preserve">Le contenu correspond-il à vos attentes initiales ?</t>
  </si>
  <si>
    <t xml:space="preserve">Qualité de l'animation et de l'expertise du formateur</t>
  </si>
  <si>
    <t xml:space="preserve">Clarté des explications et des supports</t>
  </si>
  <si>
    <t xml:space="preserve">Rythme et équilibre théorie / pratique</t>
  </si>
  <si>
    <t xml:space="preserve">Qualité de l'accueil et de l'information avant la formation</t>
  </si>
  <si>
    <t xml:space="preserve">Conditions matérielles (salle / plateforme)</t>
  </si>
  <si>
    <t xml:space="preserve">Respect des horaires et du programme</t>
  </si>
  <si>
    <t xml:space="preserve">[À FROID N+3/N+6] Avez-vous mis en pratique les acquis ? (note d'impact)</t>
  </si>
  <si>
    <t xml:space="preserve">[À FROID] Avec le recul, la formation a-t-elle répondu à vos besoins ?</t>
  </si>
  <si>
    <t xml:space="preserve">Points forts de la formation ? (ouverte)</t>
  </si>
  <si>
    <t xml:space="preserve">Ouverte</t>
  </si>
  <si>
    <t xml:space="preserve">Aspects à améliorer ? (ouverte)</t>
  </si>
  <si>
    <t xml:space="preserve">Recommanderiez-vous cette formation ? (Oui/Non + pourquoi)</t>
  </si>
  <si>
    <t xml:space="preserve">[À FROID] Effets concrets identifiés (poste, missions, compétences) ?</t>
  </si>
  <si>
    <t xml:space="preserve">2 · QUESTIONNAIRE FORMATEUR / ÉQUIPE PÉDAGOGIQUE</t>
  </si>
  <si>
    <t xml:space="preserve">Clarté des objectifs et du cahier des charges transmis</t>
  </si>
  <si>
    <t xml:space="preserve">Adéquation du programme au public réel</t>
  </si>
  <si>
    <t xml:space="preserve">Qualité des supports et ressources mis à disposition</t>
  </si>
  <si>
    <t xml:space="preserve">Conditions matérielles / techniques d'intervention</t>
  </si>
  <si>
    <t xml:space="preserve">Qualité de la coordination pédagogique (briefing, échanges)</t>
  </si>
  <si>
    <t xml:space="preserve">Niveau de préparation des bénéficiaires (positionnement)</t>
  </si>
  <si>
    <t xml:space="preserve">Soutien de l'organisme en cas de difficulté</t>
  </si>
  <si>
    <t xml:space="preserve">Satisfaction globale de la collaboration</t>
  </si>
  <si>
    <t xml:space="preserve">Points forts de l'organisation pédagogique ? (ouverte)</t>
  </si>
  <si>
    <t xml:space="preserve">Difficultés rencontrées / axes d'amélioration ? (ouverte)</t>
  </si>
  <si>
    <t xml:space="preserve">Suggestions pour améliorer la prestation ? (ouverte)</t>
  </si>
  <si>
    <t xml:space="preserve">3 · QUESTIONNAIRE ENTREPRISE / FINANCEUR</t>
  </si>
  <si>
    <t xml:space="preserve">La prestation a-t-elle répondu au besoin exprimé ?</t>
  </si>
  <si>
    <t xml:space="preserve">Qualité de la relation et de la communication</t>
  </si>
  <si>
    <t xml:space="preserve">Effets observés sur le(s) collaborateur(s) formé(s)</t>
  </si>
  <si>
    <t xml:space="preserve">Qualité administrative (conventions, facturation, reporting)</t>
  </si>
  <si>
    <t xml:space="preserve">Respect des engagements (délais, contenu, modalités)</t>
  </si>
  <si>
    <t xml:space="preserve">[CFA] Progression de l'apprenti / qualité lien CFA-entreprise</t>
  </si>
  <si>
    <t xml:space="preserve">Points forts de la collaboration ? (ouverte)</t>
  </si>
  <si>
    <t xml:space="preserve">Axes d'amélioration ? (ouverte)</t>
  </si>
  <si>
    <t xml:space="preserve">Recommanderiez-vous cet organisme ? (Oui/Non + pourquoi)</t>
  </si>
  <si>
    <t xml:space="preserve">🔥 SAISIE — QUESTIONNAIRE BÉNÉFICIAIRE (chaud + froid)</t>
  </si>
  <si>
    <t xml:space="preserve">Une ligne par retour. Colonne « Moment » = Chaud ou Froid. Notes 1 à 5.</t>
  </si>
  <si>
    <t xml:space="preserve">N°</t>
  </si>
  <si>
    <t xml:space="preserve">Date</t>
  </si>
  <si>
    <t xml:space="preserve">Action / Session</t>
  </si>
  <si>
    <t xml:space="preserve">Moment (C/F)</t>
  </si>
  <si>
    <t xml:space="preserve">Reco (O/N)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</si>
  <si>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</si>
  <si>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</si>
  <si>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</si>
  <si>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</si>
  <si>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</si>
  <si>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</si>
  <si>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</si>
  <si>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</si>
  <si>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</si>
  <si>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</si>
  <si>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Verbatim clé</t>
  </si>
  <si>
    <t xml:space="preserve">Légende →</t>
  </si>
  <si>
    <t xml:space="preserve">(survol Qn = texte)</t>
  </si>
  <si>
    <t xml:space="preserve">MOYENNE</t>
  </si>
  <si>
    <t xml:space="preserve">NOTE GLOBALE (moyenne des items)</t>
  </si>
  <si>
    <t xml:space="preserve">🎓 SAISIE — QUESTIONNAIRE FORMATEUR / ÉQUIPE PÉDAGOGIQUE</t>
  </si>
  <si>
    <t xml:space="preserve">Une ligne par retour formateur/intervenant. Notes 1 à 5.</t>
  </si>
  <si>
    <t xml:space="preserve">🤝 SAISIE — QUESTIONNAIRE ENTREPRISE / FINANCEUR</t>
  </si>
  <si>
    <t xml:space="preserve">Une ligne par retour entreprise/financeur/maître d'apprentissage. Notes 1 à 5.</t>
  </si>
  <si>
    <t xml:space="preserve">Type (E/F/MA)</t>
  </si>
  <si>
    <t xml:space="preserve">📊 SYNTHÈSE SATISFACTION</t>
  </si>
  <si>
    <t xml:space="preserve">Consolidation des 3 questionnaires — Ind. 30</t>
  </si>
  <si>
    <t xml:space="preserve">INDICATEUR</t>
  </si>
  <si>
    <t xml:space="preserve">Note /5</t>
  </si>
  <si>
    <t xml:space="preserve">Nb retours</t>
  </si>
  <si>
    <t xml:space="preserve">Bénéficiaires (chaud + froid)</t>
  </si>
  <si>
    <t xml:space="preserve">Formateurs / équipe pédagogique</t>
  </si>
  <si>
    <t xml:space="preserve">Entreprises / financeurs</t>
  </si>
  <si>
    <t xml:space="preserve">NOTE GLOBALE SATISFACTION (Ind. 30)</t>
  </si>
  <si>
    <t xml:space="preserve">Taux de recommandation (bénéficiaires)</t>
  </si>
  <si>
    <t xml:space="preserve">ANALYSE &amp; ACTIONS (→ PAQ)</t>
  </si>
  <si>
    <t xml:space="preserve">Points forts récurrents</t>
  </si>
  <si>
    <t xml:space="preserve">[ Ex. expertise formateurs, cas pratiques ]</t>
  </si>
  <si>
    <t xml:space="preserve">Points faibles récurrents</t>
  </si>
  <si>
    <t xml:space="preserve">[ Ex. rythme fin de journée ]</t>
  </si>
  <si>
    <t xml:space="preserve">Écart chaud / froid (impact réel)</t>
  </si>
  <si>
    <t xml:space="preserve">[ Ex. satisfaction maintenue à froid ]</t>
  </si>
  <si>
    <t xml:space="preserve">Actions décidées → PAQ</t>
  </si>
  <si>
    <t xml:space="preserve">[ Réf. action inscrite onglet PAQ ]</t>
  </si>
  <si>
    <t xml:space="preserve">📋 REGISTRE DES RÉCLAMATIONS (Ind. 31)</t>
  </si>
  <si>
    <t xml:space="preserve">Une ligne par réclamation — du dépôt à la clôture</t>
  </si>
  <si>
    <t xml:space="preserve">Date reçue</t>
  </si>
  <si>
    <t xml:space="preserve">Origine</t>
  </si>
  <si>
    <t xml:space="preserve">Objet</t>
  </si>
  <si>
    <t xml:space="preserve">Gravité</t>
  </si>
  <si>
    <t xml:space="preserve">Accusé 48h</t>
  </si>
  <si>
    <t xml:space="preserve">Date réponse</t>
  </si>
  <si>
    <t xml:space="preserve">Action corrective</t>
  </si>
  <si>
    <t xml:space="preserve">Statut</t>
  </si>
  <si>
    <t xml:space="preserve">R01</t>
  </si>
  <si>
    <t xml:space="preserve">12/02/26</t>
  </si>
  <si>
    <t xml:space="preserve">Bénéficiaire</t>
  </si>
  <si>
    <t xml:space="preserve">Pédagogique</t>
  </si>
  <si>
    <t xml:space="preserve">Rythme trop rapide module 3</t>
  </si>
  <si>
    <t xml:space="preserve">Modéré</t>
  </si>
  <si>
    <t xml:space="preserve">Oui</t>
  </si>
  <si>
    <t xml:space="preserve">20/02/26</t>
  </si>
  <si>
    <t xml:space="preserve">Séquençage révisé S+1</t>
  </si>
  <si>
    <t xml:space="preserve">Clôturée</t>
  </si>
  <si>
    <t xml:space="preserve">R02</t>
  </si>
  <si>
    <t xml:space="preserve">05/03/26</t>
  </si>
  <si>
    <t xml:space="preserve">Entreprise</t>
  </si>
  <si>
    <t xml:space="preserve">Organisationnel</t>
  </si>
  <si>
    <t xml:space="preserve">Reporting en retard</t>
  </si>
  <si>
    <t xml:space="preserve">Mineur</t>
  </si>
  <si>
    <t xml:space="preserve">07/03/26</t>
  </si>
  <si>
    <t xml:space="preserve">Reporting automatisé</t>
  </si>
  <si>
    <t xml:space="preserve">BILAN</t>
  </si>
  <si>
    <t xml:space="preserve">Total :</t>
  </si>
  <si>
    <t xml:space="preserve">Clôturées :</t>
  </si>
  <si>
    <t xml:space="preserve">En retard :</t>
  </si>
  <si>
    <t xml:space="preserve">📈 PLAN D'AMÉLIORATION QUALITÉ (Ind. 32)</t>
  </si>
  <si>
    <t xml:space="preserve">1 ligne = 1 action. Source → action → responsable → délai → statut</t>
  </si>
  <si>
    <t xml:space="preserve">Détectée le</t>
  </si>
  <si>
    <t xml:space="preserve">Source</t>
  </si>
  <si>
    <t xml:space="preserve">Problème / Opportunité</t>
  </si>
  <si>
    <t xml:space="preserve">Action décidée</t>
  </si>
  <si>
    <t xml:space="preserve">Responsable</t>
  </si>
  <si>
    <t xml:space="preserve">Échéance</t>
  </si>
  <si>
    <t xml:space="preserve">Priorité</t>
  </si>
  <si>
    <t xml:space="preserve">A01</t>
  </si>
  <si>
    <t xml:space="preserve">30/01/26</t>
  </si>
  <si>
    <t xml:space="preserve">Satisf. Bénéf.</t>
  </si>
  <si>
    <t xml:space="preserve">Rythme dense fin de J2</t>
  </si>
  <si>
    <t xml:space="preserve">Refonte séquençage module 3</t>
  </si>
  <si>
    <t xml:space="preserve">Resp. péda</t>
  </si>
  <si>
    <t xml:space="preserve">28/02/26</t>
  </si>
  <si>
    <t xml:space="preserve">Moyenne</t>
  </si>
  <si>
    <t xml:space="preserve">Terminée</t>
  </si>
  <si>
    <t xml:space="preserve">A02</t>
  </si>
  <si>
    <t xml:space="preserve">Réclamation</t>
  </si>
  <si>
    <t xml:space="preserve">Reporting financeur en retard</t>
  </si>
  <si>
    <t xml:space="preserve">Automatisation reporting</t>
  </si>
  <si>
    <t xml:space="preserve">Direction</t>
  </si>
  <si>
    <t xml:space="preserve">30/04/26</t>
  </si>
  <si>
    <t xml:space="preserve">Haute</t>
  </si>
  <si>
    <t xml:space="preserve">A03</t>
  </si>
  <si>
    <t xml:space="preserve">12/03/26</t>
  </si>
  <si>
    <t xml:space="preserve">Veille</t>
  </si>
  <si>
    <t xml:space="preserve">Réforme CPF</t>
  </si>
  <si>
    <t xml:space="preserve">Révision contrats + fiches web</t>
  </si>
  <si>
    <t xml:space="preserve">Réf. qualité</t>
  </si>
  <si>
    <t xml:space="preserve">31/03/26</t>
  </si>
  <si>
    <t xml:space="preserve">Terminées :</t>
  </si>
  <si>
    <t xml:space="preserve">Retard :</t>
  </si>
  <si>
    <t xml:space="preserve">🔄 REGISTRE DES REVUES QUALITÉ (Ind. 32)</t>
  </si>
  <si>
    <t xml:space="preserve">Revues de direction / réunions qualité / conseil de perfectionnement CFA</t>
  </si>
  <si>
    <t xml:space="preserve">Participants</t>
  </si>
  <si>
    <t xml:space="preserve">Décisions / Points clés</t>
  </si>
  <si>
    <t xml:space="preserve">CR réf.</t>
  </si>
  <si>
    <t xml:space="preserve">01</t>
  </si>
  <si>
    <t xml:space="preserve">15/01/26</t>
  </si>
  <si>
    <t xml:space="preserve">Revue de direction</t>
  </si>
  <si>
    <t xml:space="preserve">Direction + Réf. qualité + Resp. péda</t>
  </si>
  <si>
    <t xml:space="preserve">Bilan 2025, objectifs 2026, validation PAQ</t>
  </si>
  <si>
    <t xml:space="preserve">RDD-2026-01</t>
  </si>
  <si>
    <t xml:space="preserve">02</t>
  </si>
  <si>
    <t xml:space="preserve">20/05/26</t>
  </si>
  <si>
    <t xml:space="preserve">Conseil perfectionnement</t>
  </si>
  <si>
    <t xml:space="preserve">Voir composition (CFA)</t>
  </si>
  <si>
    <t xml:space="preserve">Taux insertion, réclamations, plan N+1</t>
  </si>
  <si>
    <t xml:space="preserve">PV-CP-2026-01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</si>
</sst>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%"/>
    <numFmt numFmtId="167" formatCode="0"/>
    <numFmt numFmtId="168" formatCode="0.0"/>
    <numFmt numFmtId="169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2"/>
      <color rgb="FFD85A3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3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u val="single"/>
      <sz val="9"/>
      <color rgb="FF0F2A47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6"/>
      <color rgb="FF0F2A4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88780"/>
      <name val="Arial"/>
      <family val="0"/>
      <charset val="1"/>
    </font>
    <font>
      <sz val="7"/>
      <color rgb="FF888780"/>
      <name val="Arial"/>
      <family val="0"/>
      <charset val="1"/>
    </font>
    <font>
      <i val="true"/>
      <sz val="7"/>
      <color rgb="FF888780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name val="Arial"/>
      <family val="2"/>
    </font>
    <font>
      <b val="true"/>
      <sz val="12"/>
      <color rgb="FF2C2C2A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4"/>
      <color rgb="FFD85A30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1"/>
      <color rgb="FF0F2A4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85A30"/>
        <bgColor rgb="FFB98D27"/>
      </patternFill>
    </fill>
    <fill>
      <patternFill patternType="solid">
        <fgColor rgb="FF0F2A47"/>
        <bgColor rgb="FF2C2C2A"/>
      </patternFill>
    </fill>
    <fill>
      <patternFill patternType="solid">
        <fgColor rgb="FFFBFAF6"/>
        <bgColor rgb="FFFFFFFF"/>
      </patternFill>
    </fill>
    <fill>
      <patternFill patternType="solid">
        <fgColor rgb="FFFFFFFF"/>
        <bgColor rgb="FFFBFAF6"/>
      </patternFill>
    </fill>
    <fill>
      <patternFill patternType="solid">
        <fgColor rgb="FFFAEEDA"/>
        <bgColor rgb="FFF1EFE8"/>
      </patternFill>
    </fill>
    <fill>
      <patternFill patternType="solid">
        <fgColor rgb="FFE6F0FA"/>
        <bgColor rgb="FFF1EFE8"/>
      </patternFill>
    </fill>
    <fill>
      <patternFill patternType="solid">
        <fgColor rgb="FFF1EFE8"/>
        <bgColor rgb="FFFAEED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  <dxf>
      <fill>
        <patternFill>
          <bgColor rgb="FFE6F0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6" hidden="false" customHeight="true" outlineLevel="0" collapsed="false">
      <c r="B4" s="3"/>
      <c r="C4" s="3"/>
      <c r="D4" s="3"/>
      <c r="E4" s="3"/>
    </row>
    <row r="6" customFormat="false" ht="24" hidden="false" customHeight="true" outlineLevel="0" collapsed="false">
      <c r="B6" s="4" t="s">
        <v>2</v>
      </c>
      <c r="C6" s="4"/>
      <c r="D6" s="4"/>
      <c r="E6" s="4"/>
    </row>
    <row r="7" customFormat="false" ht="31.5" hidden="false" customHeight="true" outlineLevel="0" collapsed="false">
      <c r="B7" s="5" t="s">
        <v>3</v>
      </c>
      <c r="C7" s="5"/>
      <c r="D7" s="5" t="s">
        <v>4</v>
      </c>
      <c r="E7" s="5"/>
    </row>
    <row r="8" customFormat="false" ht="31.5" hidden="false" customHeight="true" outlineLevel="0" collapsed="false">
      <c r="B8" s="5" t="s">
        <v>5</v>
      </c>
      <c r="C8" s="5"/>
      <c r="D8" s="5" t="s">
        <v>6</v>
      </c>
      <c r="E8" s="5"/>
    </row>
    <row r="9" customFormat="false" ht="31.5" hidden="false" customHeight="true" outlineLevel="0" collapsed="false">
      <c r="B9" s="5" t="s">
        <v>7</v>
      </c>
      <c r="C9" s="5"/>
      <c r="D9" s="5" t="s">
        <v>8</v>
      </c>
      <c r="E9" s="5"/>
    </row>
    <row r="10" customFormat="false" ht="31.5" hidden="false" customHeight="true" outlineLevel="0" collapsed="false">
      <c r="B10" s="5" t="s">
        <v>9</v>
      </c>
      <c r="C10" s="5"/>
      <c r="D10" s="5" t="s">
        <v>10</v>
      </c>
      <c r="E10" s="5"/>
    </row>
    <row r="12" customFormat="false" ht="24" hidden="false" customHeight="true" outlineLevel="0" collapsed="false">
      <c r="B12" s="4" t="s">
        <v>11</v>
      </c>
      <c r="C12" s="4"/>
      <c r="D12" s="4"/>
      <c r="E12" s="4"/>
    </row>
    <row r="13" customFormat="false" ht="25.5" hidden="false" customHeight="true" outlineLevel="0" collapsed="false">
      <c r="B13" s="6" t="s">
        <v>12</v>
      </c>
      <c r="C13" s="6"/>
      <c r="D13" s="6"/>
      <c r="E13" s="6" t="s">
        <v>13</v>
      </c>
    </row>
    <row r="14" customFormat="false" ht="27.75" hidden="false" customHeight="true" outlineLevel="0" collapsed="false">
      <c r="B14" s="7" t="s">
        <v>14</v>
      </c>
      <c r="C14" s="7"/>
      <c r="D14" s="7"/>
      <c r="E14" s="8" t="n">
        <f aca="false">'📊 Synthèse Satisf'!C11</f>
        <v>0</v>
      </c>
    </row>
    <row r="15" customFormat="false" ht="27.75" hidden="false" customHeight="true" outlineLevel="0" collapsed="false">
      <c r="B15" s="7" t="s">
        <v>15</v>
      </c>
      <c r="C15" s="7"/>
      <c r="D15" s="7"/>
      <c r="E15" s="9" t="n">
        <f aca="false">'📊 Synthèse Satisf'!C12</f>
        <v>0</v>
      </c>
    </row>
    <row r="16" customFormat="false" ht="27.75" hidden="false" customHeight="true" outlineLevel="0" collapsed="false">
      <c r="B16" s="7" t="s">
        <v>16</v>
      </c>
      <c r="C16" s="7"/>
      <c r="D16" s="7"/>
      <c r="E16" s="9" t="n">
        <f aca="false">IFERROR('📋 Réclamations'!H35/'📋 Réclamations'!F35,0)</f>
        <v>0</v>
      </c>
    </row>
    <row r="17" customFormat="false" ht="27.75" hidden="false" customHeight="true" outlineLevel="0" collapsed="false">
      <c r="B17" s="7" t="s">
        <v>17</v>
      </c>
      <c r="C17" s="7"/>
      <c r="D17" s="7"/>
      <c r="E17" s="10" t="n">
        <f aca="false">'📋 Réclamations'!J35</f>
        <v>0</v>
      </c>
    </row>
    <row r="18" customFormat="false" ht="27.75" hidden="false" customHeight="true" outlineLevel="0" collapsed="false">
      <c r="B18" s="7" t="s">
        <v>18</v>
      </c>
      <c r="C18" s="7"/>
      <c r="D18" s="7"/>
      <c r="E18" s="9" t="n">
        <f aca="false">IFERROR('📈 PAQ'!H41/'📈 PAQ'!F41,0)</f>
        <v>0</v>
      </c>
    </row>
    <row r="19" customFormat="false" ht="27.75" hidden="false" customHeight="true" outlineLevel="0" collapsed="false">
      <c r="B19" s="7" t="s">
        <v>19</v>
      </c>
      <c r="C19" s="7"/>
      <c r="D19" s="7"/>
      <c r="E19" s="10" t="n">
        <f aca="false">'📈 PAQ'!J41</f>
        <v>0</v>
      </c>
    </row>
    <row r="21" customFormat="false" ht="69.75" hidden="false" customHeight="true" outlineLevel="0" collapsed="false">
      <c r="B21" s="11" t="s">
        <v>20</v>
      </c>
      <c r="C21" s="12" t="s">
        <v>21</v>
      </c>
      <c r="D21" s="12"/>
      <c r="E21" s="12"/>
    </row>
  </sheetData>
  <mergeCells count="20">
    <mergeCell ref="B2:E2"/>
    <mergeCell ref="B3:E3"/>
    <mergeCell ref="B6:E6"/>
    <mergeCell ref="B7:C7"/>
    <mergeCell ref="D7:E7"/>
    <mergeCell ref="B8:C8"/>
    <mergeCell ref="D8:E8"/>
    <mergeCell ref="B9:C9"/>
    <mergeCell ref="D9:E9"/>
    <mergeCell ref="B10:C10"/>
    <mergeCell ref="D10:E10"/>
    <mergeCell ref="B12:E12"/>
    <mergeCell ref="B13:D13"/>
    <mergeCell ref="B14:D14"/>
    <mergeCell ref="B15:D15"/>
    <mergeCell ref="B16:D16"/>
    <mergeCell ref="B17:D17"/>
    <mergeCell ref="B18:D18"/>
    <mergeCell ref="B19:D19"/>
    <mergeCell ref="C21:E21"/>
  </mergeCells>
  <hyperlinks>
    <hyperlink ref="B7" location="'❓ Questionnaires réf'!A1" display="❓ Questionnaires (réf.)"/>
    <hyperlink ref="D7" location="'🔥 Saisie Bénéficiaire'!A1" display="🔥 Saisie Bénéficiaire"/>
    <hyperlink ref="B8" location="'🎓 Saisie Formateur'!A1" display="🎓 Saisie Formateur/Équipe"/>
    <hyperlink ref="D8" location="'🤝 Saisie Entreprise'!A1" display="🤝 Saisie Entreprise/Financeur"/>
    <hyperlink ref="B9" location="'📊 Synthèse Satisf'!A1" display="📊 Synthèse Satisfaction"/>
    <hyperlink ref="D9" location="'📋 Réclamations'!A1" display="📋 Registre Réclamations"/>
    <hyperlink ref="B10" location="'📈 PAQ'!A1" display="📈 Plan d'Amélioration (PAQ)"/>
    <hyperlink ref="D10" location="'🔄 Revues qualité'!A1" display="🔄 Revues qualité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3"/>
  </cols>
  <sheetData>
    <row r="1" customFormat="false" ht="15" hidden="false" customHeight="false" outlineLevel="0" collapsed="false">
      <c r="B1" s="13" t="s">
        <v>22</v>
      </c>
    </row>
    <row r="2" customFormat="false" ht="30" hidden="false" customHeight="true" outlineLevel="0" collapsed="false">
      <c r="B2" s="14" t="s">
        <v>23</v>
      </c>
      <c r="C2" s="14"/>
      <c r="D2" s="14"/>
    </row>
    <row r="3" customFormat="false" ht="19.5" hidden="false" customHeight="true" outlineLevel="0" collapsed="false">
      <c r="B3" s="15" t="s">
        <v>24</v>
      </c>
      <c r="C3" s="15"/>
      <c r="D3" s="15"/>
    </row>
    <row r="4" customFormat="false" ht="6" hidden="false" customHeight="true" outlineLevel="0" collapsed="false">
      <c r="B4" s="3"/>
      <c r="C4" s="3"/>
      <c r="D4" s="3"/>
    </row>
    <row r="6" customFormat="false" ht="25.5" hidden="false" customHeight="true" outlineLevel="0" collapsed="false">
      <c r="B6" s="4" t="s">
        <v>25</v>
      </c>
      <c r="C6" s="4"/>
      <c r="D6" s="4"/>
    </row>
    <row r="7" customFormat="false" ht="24" hidden="false" customHeight="true" outlineLevel="0" collapsed="false">
      <c r="B7" s="6" t="s">
        <v>26</v>
      </c>
      <c r="C7" s="6" t="s">
        <v>27</v>
      </c>
      <c r="D7" s="6" t="s">
        <v>28</v>
      </c>
    </row>
    <row r="8" customFormat="false" ht="30" hidden="false" customHeight="true" outlineLevel="0" collapsed="false">
      <c r="B8" s="16" t="n">
        <v>1</v>
      </c>
      <c r="C8" s="17" t="s">
        <v>29</v>
      </c>
      <c r="D8" s="16" t="s">
        <v>30</v>
      </c>
    </row>
    <row r="9" customFormat="false" ht="30" hidden="false" customHeight="true" outlineLevel="0" collapsed="false">
      <c r="B9" s="16" t="n">
        <v>2</v>
      </c>
      <c r="C9" s="17" t="s">
        <v>31</v>
      </c>
      <c r="D9" s="16" t="s">
        <v>30</v>
      </c>
    </row>
    <row r="10" customFormat="false" ht="30" hidden="false" customHeight="true" outlineLevel="0" collapsed="false">
      <c r="B10" s="16" t="n">
        <v>3</v>
      </c>
      <c r="C10" s="17" t="s">
        <v>32</v>
      </c>
      <c r="D10" s="16" t="s">
        <v>30</v>
      </c>
    </row>
    <row r="11" customFormat="false" ht="30" hidden="false" customHeight="true" outlineLevel="0" collapsed="false">
      <c r="B11" s="16" t="n">
        <v>4</v>
      </c>
      <c r="C11" s="17" t="s">
        <v>33</v>
      </c>
      <c r="D11" s="16" t="s">
        <v>30</v>
      </c>
    </row>
    <row r="12" customFormat="false" ht="30" hidden="false" customHeight="true" outlineLevel="0" collapsed="false">
      <c r="B12" s="16" t="n">
        <v>5</v>
      </c>
      <c r="C12" s="17" t="s">
        <v>34</v>
      </c>
      <c r="D12" s="16" t="s">
        <v>30</v>
      </c>
    </row>
    <row r="13" customFormat="false" ht="30" hidden="false" customHeight="true" outlineLevel="0" collapsed="false">
      <c r="B13" s="16" t="n">
        <v>6</v>
      </c>
      <c r="C13" s="17" t="s">
        <v>35</v>
      </c>
      <c r="D13" s="16" t="s">
        <v>30</v>
      </c>
    </row>
    <row r="14" customFormat="false" ht="30" hidden="false" customHeight="true" outlineLevel="0" collapsed="false">
      <c r="B14" s="16" t="n">
        <v>7</v>
      </c>
      <c r="C14" s="17" t="s">
        <v>36</v>
      </c>
      <c r="D14" s="16" t="s">
        <v>30</v>
      </c>
    </row>
    <row r="15" customFormat="false" ht="30" hidden="false" customHeight="true" outlineLevel="0" collapsed="false">
      <c r="B15" s="16" t="n">
        <v>8</v>
      </c>
      <c r="C15" s="17" t="s">
        <v>37</v>
      </c>
      <c r="D15" s="16" t="s">
        <v>30</v>
      </c>
    </row>
    <row r="16" customFormat="false" ht="30" hidden="false" customHeight="true" outlineLevel="0" collapsed="false">
      <c r="B16" s="16" t="n">
        <v>9</v>
      </c>
      <c r="C16" s="17" t="s">
        <v>38</v>
      </c>
      <c r="D16" s="16" t="s">
        <v>30</v>
      </c>
    </row>
    <row r="17" customFormat="false" ht="30" hidden="false" customHeight="true" outlineLevel="0" collapsed="false">
      <c r="B17" s="16" t="n">
        <v>10</v>
      </c>
      <c r="C17" s="17" t="s">
        <v>39</v>
      </c>
      <c r="D17" s="16" t="s">
        <v>30</v>
      </c>
    </row>
    <row r="18" customFormat="false" ht="30" hidden="false" customHeight="true" outlineLevel="0" collapsed="false">
      <c r="B18" s="16" t="n">
        <v>11</v>
      </c>
      <c r="C18" s="18" t="s">
        <v>40</v>
      </c>
      <c r="D18" s="16" t="s">
        <v>41</v>
      </c>
    </row>
    <row r="19" customFormat="false" ht="30" hidden="false" customHeight="true" outlineLevel="0" collapsed="false">
      <c r="B19" s="16" t="n">
        <v>12</v>
      </c>
      <c r="C19" s="18" t="s">
        <v>42</v>
      </c>
      <c r="D19" s="16" t="s">
        <v>41</v>
      </c>
    </row>
    <row r="20" customFormat="false" ht="30" hidden="false" customHeight="true" outlineLevel="0" collapsed="false">
      <c r="B20" s="16" t="n">
        <v>13</v>
      </c>
      <c r="C20" s="18" t="s">
        <v>43</v>
      </c>
      <c r="D20" s="16" t="s">
        <v>41</v>
      </c>
    </row>
    <row r="21" customFormat="false" ht="30" hidden="false" customHeight="true" outlineLevel="0" collapsed="false">
      <c r="B21" s="16" t="n">
        <v>14</v>
      </c>
      <c r="C21" s="18" t="s">
        <v>44</v>
      </c>
      <c r="D21" s="16" t="s">
        <v>41</v>
      </c>
    </row>
    <row r="23" customFormat="false" ht="25.5" hidden="false" customHeight="true" outlineLevel="0" collapsed="false">
      <c r="B23" s="4" t="s">
        <v>45</v>
      </c>
      <c r="C23" s="4"/>
      <c r="D23" s="4"/>
    </row>
    <row r="24" customFormat="false" ht="24" hidden="false" customHeight="true" outlineLevel="0" collapsed="false">
      <c r="B24" s="6" t="s">
        <v>26</v>
      </c>
      <c r="C24" s="6" t="s">
        <v>27</v>
      </c>
      <c r="D24" s="6" t="s">
        <v>28</v>
      </c>
    </row>
    <row r="25" customFormat="false" ht="30" hidden="false" customHeight="true" outlineLevel="0" collapsed="false">
      <c r="B25" s="16" t="n">
        <v>1</v>
      </c>
      <c r="C25" s="17" t="s">
        <v>46</v>
      </c>
      <c r="D25" s="16" t="s">
        <v>30</v>
      </c>
    </row>
    <row r="26" customFormat="false" ht="30" hidden="false" customHeight="true" outlineLevel="0" collapsed="false">
      <c r="B26" s="16" t="n">
        <v>2</v>
      </c>
      <c r="C26" s="17" t="s">
        <v>47</v>
      </c>
      <c r="D26" s="16" t="s">
        <v>30</v>
      </c>
    </row>
    <row r="27" customFormat="false" ht="30" hidden="false" customHeight="true" outlineLevel="0" collapsed="false">
      <c r="B27" s="16" t="n">
        <v>3</v>
      </c>
      <c r="C27" s="17" t="s">
        <v>48</v>
      </c>
      <c r="D27" s="16" t="s">
        <v>30</v>
      </c>
    </row>
    <row r="28" customFormat="false" ht="30" hidden="false" customHeight="true" outlineLevel="0" collapsed="false">
      <c r="B28" s="16" t="n">
        <v>4</v>
      </c>
      <c r="C28" s="17" t="s">
        <v>49</v>
      </c>
      <c r="D28" s="16" t="s">
        <v>30</v>
      </c>
    </row>
    <row r="29" customFormat="false" ht="30" hidden="false" customHeight="true" outlineLevel="0" collapsed="false">
      <c r="B29" s="16" t="n">
        <v>5</v>
      </c>
      <c r="C29" s="17" t="s">
        <v>50</v>
      </c>
      <c r="D29" s="16" t="s">
        <v>30</v>
      </c>
    </row>
    <row r="30" customFormat="false" ht="30" hidden="false" customHeight="true" outlineLevel="0" collapsed="false">
      <c r="B30" s="16" t="n">
        <v>6</v>
      </c>
      <c r="C30" s="17" t="s">
        <v>51</v>
      </c>
      <c r="D30" s="16" t="s">
        <v>30</v>
      </c>
    </row>
    <row r="31" customFormat="false" ht="30" hidden="false" customHeight="true" outlineLevel="0" collapsed="false">
      <c r="B31" s="16" t="n">
        <v>7</v>
      </c>
      <c r="C31" s="17" t="s">
        <v>52</v>
      </c>
      <c r="D31" s="16" t="s">
        <v>30</v>
      </c>
    </row>
    <row r="32" customFormat="false" ht="30" hidden="false" customHeight="true" outlineLevel="0" collapsed="false">
      <c r="B32" s="16" t="n">
        <v>8</v>
      </c>
      <c r="C32" s="17" t="s">
        <v>53</v>
      </c>
      <c r="D32" s="16" t="s">
        <v>30</v>
      </c>
    </row>
    <row r="33" customFormat="false" ht="30" hidden="false" customHeight="true" outlineLevel="0" collapsed="false">
      <c r="B33" s="16" t="n">
        <v>9</v>
      </c>
      <c r="C33" s="18" t="s">
        <v>54</v>
      </c>
      <c r="D33" s="16" t="s">
        <v>41</v>
      </c>
    </row>
    <row r="34" customFormat="false" ht="30" hidden="false" customHeight="true" outlineLevel="0" collapsed="false">
      <c r="B34" s="16" t="n">
        <v>10</v>
      </c>
      <c r="C34" s="18" t="s">
        <v>55</v>
      </c>
      <c r="D34" s="16" t="s">
        <v>41</v>
      </c>
    </row>
    <row r="35" customFormat="false" ht="30" hidden="false" customHeight="true" outlineLevel="0" collapsed="false">
      <c r="B35" s="16" t="n">
        <v>11</v>
      </c>
      <c r="C35" s="18" t="s">
        <v>56</v>
      </c>
      <c r="D35" s="16" t="s">
        <v>41</v>
      </c>
    </row>
    <row r="37" customFormat="false" ht="25.5" hidden="false" customHeight="true" outlineLevel="0" collapsed="false">
      <c r="B37" s="4" t="s">
        <v>57</v>
      </c>
      <c r="C37" s="4"/>
      <c r="D37" s="4"/>
    </row>
    <row r="38" customFormat="false" ht="24" hidden="false" customHeight="true" outlineLevel="0" collapsed="false">
      <c r="B38" s="6" t="s">
        <v>26</v>
      </c>
      <c r="C38" s="6" t="s">
        <v>27</v>
      </c>
      <c r="D38" s="6" t="s">
        <v>28</v>
      </c>
    </row>
    <row r="39" customFormat="false" ht="30" hidden="false" customHeight="true" outlineLevel="0" collapsed="false">
      <c r="B39" s="16" t="n">
        <v>1</v>
      </c>
      <c r="C39" s="17" t="s">
        <v>58</v>
      </c>
      <c r="D39" s="16" t="s">
        <v>30</v>
      </c>
    </row>
    <row r="40" customFormat="false" ht="30" hidden="false" customHeight="true" outlineLevel="0" collapsed="false">
      <c r="B40" s="16" t="n">
        <v>2</v>
      </c>
      <c r="C40" s="17" t="s">
        <v>59</v>
      </c>
      <c r="D40" s="16" t="s">
        <v>30</v>
      </c>
    </row>
    <row r="41" customFormat="false" ht="30" hidden="false" customHeight="true" outlineLevel="0" collapsed="false">
      <c r="B41" s="16" t="n">
        <v>3</v>
      </c>
      <c r="C41" s="17" t="s">
        <v>60</v>
      </c>
      <c r="D41" s="16" t="s">
        <v>30</v>
      </c>
    </row>
    <row r="42" customFormat="false" ht="30" hidden="false" customHeight="true" outlineLevel="0" collapsed="false">
      <c r="B42" s="16" t="n">
        <v>4</v>
      </c>
      <c r="C42" s="17" t="s">
        <v>61</v>
      </c>
      <c r="D42" s="16" t="s">
        <v>30</v>
      </c>
    </row>
    <row r="43" customFormat="false" ht="30" hidden="false" customHeight="true" outlineLevel="0" collapsed="false">
      <c r="B43" s="16" t="n">
        <v>5</v>
      </c>
      <c r="C43" s="17" t="s">
        <v>62</v>
      </c>
      <c r="D43" s="16" t="s">
        <v>30</v>
      </c>
    </row>
    <row r="44" customFormat="false" ht="30" hidden="false" customHeight="true" outlineLevel="0" collapsed="false">
      <c r="B44" s="16" t="n">
        <v>6</v>
      </c>
      <c r="C44" s="17" t="s">
        <v>63</v>
      </c>
      <c r="D44" s="16" t="s">
        <v>30</v>
      </c>
    </row>
    <row r="45" customFormat="false" ht="30" hidden="false" customHeight="true" outlineLevel="0" collapsed="false">
      <c r="B45" s="16" t="n">
        <v>7</v>
      </c>
      <c r="C45" s="18" t="s">
        <v>64</v>
      </c>
      <c r="D45" s="16" t="s">
        <v>41</v>
      </c>
    </row>
    <row r="46" customFormat="false" ht="30" hidden="false" customHeight="true" outlineLevel="0" collapsed="false">
      <c r="B46" s="16" t="n">
        <v>8</v>
      </c>
      <c r="C46" s="18" t="s">
        <v>65</v>
      </c>
      <c r="D46" s="16" t="s">
        <v>41</v>
      </c>
    </row>
    <row r="47" customFormat="false" ht="30" hidden="false" customHeight="true" outlineLevel="0" collapsed="false">
      <c r="B47" s="16" t="n">
        <v>9</v>
      </c>
      <c r="C47" s="18" t="s">
        <v>66</v>
      </c>
      <c r="D47" s="16" t="s">
        <v>41</v>
      </c>
    </row>
  </sheetData>
  <mergeCells count="5">
    <mergeCell ref="B2:D2"/>
    <mergeCell ref="B3:D3"/>
    <mergeCell ref="B6:D6"/>
    <mergeCell ref="B23:D23"/>
    <mergeCell ref="B37:D37"/>
  </mergeCell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16" min="7" style="0" width="7"/>
    <col collapsed="false" customWidth="true" hidden="false" outlineLevel="0" max="17" min="17" style="0" width="26"/>
    <col collapsed="false" customWidth="true" hidden="false" outlineLevel="0" max="18" min="18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67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9.5" hidden="false" customHeight="true" outlineLevel="0" collapsed="false">
      <c r="B3" s="15" t="s">
        <v>68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6" customFormat="false" ht="24" hidden="false" customHeight="true" outlineLevel="0" collapsed="false">
      <c r="B6" s="20" t="s">
        <v>69</v>
      </c>
      <c r="C6" s="20" t="s">
        <v>70</v>
      </c>
      <c r="D6" s="20" t="s">
        <v>71</v>
      </c>
      <c r="E6" s="20" t="s">
        <v>72</v>
      </c>
      <c r="F6" s="20" t="s">
        <v>73</v>
      </c>
      <c r="G6" s="20" t="s">
        <v>74</v>
      </c>
      <c r="H6" s="20" t="s">
        <v>75</v>
      </c>
      <c r="I6" s="20" t="s">
        <v>76</v>
      </c>
      <c r="J6" s="20" t="s">
        <v>77</v>
      </c>
      <c r="K6" s="20" t="s">
        <v>78</v>
      </c>
      <c r="L6" s="20" t="s">
        <v>79</v>
      </c>
      <c r="M6" s="20" t="s">
        <v>80</v>
      </c>
      <c r="N6" s="20" t="s">
        <v>81</v>
      </c>
      <c r="O6" s="20" t="s">
        <v>82</v>
      </c>
      <c r="P6" s="20" t="s">
        <v>83</v>
      </c>
      <c r="Q6" s="20" t="s">
        <v>84</v>
      </c>
    </row>
    <row r="7" customFormat="false" ht="18" hidden="false" customHeight="true" outlineLevel="0" collapsed="false">
      <c r="B7" s="21" t="s">
        <v>85</v>
      </c>
      <c r="C7" s="21"/>
      <c r="D7" s="21"/>
      <c r="E7" s="21"/>
      <c r="F7" s="21"/>
      <c r="G7" s="22" t="s">
        <v>74</v>
      </c>
      <c r="H7" s="22" t="s">
        <v>75</v>
      </c>
      <c r="I7" s="22" t="s">
        <v>76</v>
      </c>
      <c r="J7" s="22" t="s">
        <v>77</v>
      </c>
      <c r="K7" s="22" t="s">
        <v>78</v>
      </c>
      <c r="L7" s="22" t="s">
        <v>79</v>
      </c>
      <c r="M7" s="22" t="s">
        <v>80</v>
      </c>
      <c r="N7" s="22" t="s">
        <v>81</v>
      </c>
      <c r="O7" s="22" t="s">
        <v>82</v>
      </c>
      <c r="P7" s="22" t="s">
        <v>83</v>
      </c>
      <c r="Q7" s="23" t="s">
        <v>86</v>
      </c>
    </row>
    <row r="8" customFormat="false" ht="21.75" hidden="false" customHeight="true" outlineLevel="0" collapsed="false">
      <c r="B8" s="24"/>
      <c r="C8" s="24"/>
      <c r="D8" s="25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customFormat="false" ht="21.75" hidden="false" customHeight="true" outlineLevel="0" collapsed="false">
      <c r="B9" s="24"/>
      <c r="C9" s="24"/>
      <c r="D9" s="25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</row>
    <row r="10" customFormat="false" ht="21.75" hidden="false" customHeight="true" outlineLevel="0" collapsed="false">
      <c r="B10" s="24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customFormat="false" ht="21.75" hidden="false" customHeight="true" outlineLevel="0" collapsed="false">
      <c r="B11" s="24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</row>
    <row r="12" customFormat="false" ht="21.75" hidden="false" customHeight="true" outlineLevel="0" collapsed="false">
      <c r="B12" s="24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</row>
    <row r="13" customFormat="false" ht="21.75" hidden="false" customHeight="true" outlineLevel="0" collapsed="false"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</row>
    <row r="14" customFormat="false" ht="21.75" hidden="false" customHeight="true" outlineLevel="0" collapsed="false">
      <c r="B14" s="24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</row>
    <row r="15" customFormat="false" ht="21.75" hidden="false" customHeight="true" outlineLevel="0" collapsed="false"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</row>
    <row r="16" customFormat="false" ht="21.75" hidden="false" customHeight="true" outlineLevel="0" collapsed="false"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</row>
    <row r="17" customFormat="false" ht="21.75" hidden="false" customHeight="true" outlineLevel="0" collapsed="false">
      <c r="B17" s="24"/>
      <c r="C17" s="24"/>
      <c r="D17" s="25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</row>
    <row r="18" customFormat="false" ht="21.75" hidden="false" customHeight="true" outlineLevel="0" collapsed="false">
      <c r="B18" s="24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customFormat="false" ht="21.75" hidden="false" customHeight="true" outlineLevel="0" collapsed="false">
      <c r="B19" s="24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</row>
    <row r="20" customFormat="false" ht="21.75" hidden="false" customHeight="true" outlineLevel="0" collapsed="false">
      <c r="B20" s="24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customFormat="false" ht="21.75" hidden="false" customHeight="true" outlineLevel="0" collapsed="false">
      <c r="B21" s="24"/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</row>
    <row r="22" customFormat="false" ht="21.75" hidden="false" customHeight="true" outlineLevel="0" collapsed="false">
      <c r="B22" s="24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customFormat="false" ht="21.75" hidden="false" customHeight="true" outlineLevel="0" collapsed="false"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customFormat="false" ht="21.75" hidden="false" customHeight="true" outlineLevel="0" collapsed="false">
      <c r="B24" s="24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</row>
    <row r="25" customFormat="false" ht="21.75" hidden="false" customHeight="true" outlineLevel="0" collapsed="false"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</row>
    <row r="26" customFormat="false" ht="21.75" hidden="false" customHeight="true" outlineLevel="0" collapsed="false">
      <c r="B26" s="24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</row>
    <row r="27" customFormat="false" ht="21.75" hidden="false" customHeight="true" outlineLevel="0" collapsed="false">
      <c r="B27" s="24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</row>
    <row r="28" customFormat="false" ht="21.75" hidden="false" customHeight="true" outlineLevel="0" collapsed="false">
      <c r="B28" s="24"/>
      <c r="C28" s="24"/>
      <c r="D28" s="25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</row>
    <row r="29" customFormat="false" ht="21.75" hidden="false" customHeight="true" outlineLevel="0" collapsed="false">
      <c r="B29" s="24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</row>
    <row r="30" customFormat="false" ht="21.75" hidden="false" customHeight="true" outlineLevel="0" collapsed="false"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customFormat="false" ht="21.75" hidden="false" customHeight="true" outlineLevel="0" collapsed="false">
      <c r="B31" s="24"/>
      <c r="C31" s="24"/>
      <c r="D31" s="25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</row>
    <row r="32" customFormat="false" ht="21.75" hidden="false" customHeight="true" outlineLevel="0" collapsed="false">
      <c r="B32" s="24"/>
      <c r="C32" s="24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</row>
    <row r="33" customFormat="false" ht="21.75" hidden="false" customHeight="true" outlineLevel="0" collapsed="false">
      <c r="B33" s="24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</row>
    <row r="34" customFormat="false" ht="21.75" hidden="false" customHeight="true" outlineLevel="0" collapsed="false">
      <c r="B34" s="24"/>
      <c r="C34" s="24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</row>
    <row r="35" customFormat="false" ht="21.75" hidden="false" customHeight="true" outlineLevel="0" collapsed="false">
      <c r="B35" s="24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</row>
    <row r="36" customFormat="false" ht="21.75" hidden="false" customHeight="true" outlineLevel="0" collapsed="false">
      <c r="B36" s="24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</row>
    <row r="37" customFormat="false" ht="21.75" hidden="false" customHeight="true" outlineLevel="0" collapsed="false">
      <c r="B37" s="24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</row>
    <row r="38" customFormat="false" ht="21.75" hidden="false" customHeight="true" outlineLevel="0" collapsed="false">
      <c r="B38" s="24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</row>
    <row r="39" customFormat="false" ht="21.75" hidden="false" customHeight="true" outlineLevel="0" collapsed="false">
      <c r="B39" s="24"/>
      <c r="C39" s="24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</row>
    <row r="40" customFormat="false" ht="21.75" hidden="false" customHeight="true" outlineLevel="0" collapsed="false">
      <c r="B40" s="24"/>
      <c r="C40" s="24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</row>
    <row r="41" customFormat="false" ht="21.75" hidden="false" customHeight="true" outlineLevel="0" collapsed="false">
      <c r="B41" s="24"/>
      <c r="C41" s="24"/>
      <c r="D41" s="25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</row>
    <row r="42" customFormat="false" ht="21.75" hidden="false" customHeight="true" outlineLevel="0" collapsed="false">
      <c r="B42" s="24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</row>
    <row r="43" customFormat="false" ht="21.75" hidden="false" customHeight="true" outlineLevel="0" collapsed="false">
      <c r="B43" s="24"/>
      <c r="C43" s="24"/>
      <c r="D43" s="25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</row>
    <row r="44" customFormat="false" ht="21.75" hidden="false" customHeight="true" outlineLevel="0" collapsed="false">
      <c r="B44" s="24"/>
      <c r="C44" s="24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</row>
    <row r="45" customFormat="false" ht="21.75" hidden="false" customHeight="true" outlineLevel="0" collapsed="false">
      <c r="B45" s="24"/>
      <c r="C45" s="24"/>
      <c r="D45" s="25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</row>
    <row r="46" customFormat="false" ht="21.75" hidden="false" customHeight="true" outlineLevel="0" collapsed="false">
      <c r="B46" s="24"/>
      <c r="C46" s="24"/>
      <c r="D46" s="25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</row>
    <row r="47" customFormat="false" ht="21.75" hidden="false" customHeight="true" outlineLevel="0" collapsed="false">
      <c r="B47" s="24"/>
      <c r="C47" s="24"/>
      <c r="D47" s="25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</row>
    <row r="48" customFormat="false" ht="25.5" hidden="false" customHeight="true" outlineLevel="0" collapsed="false">
      <c r="B48" s="6" t="s">
        <v>87</v>
      </c>
      <c r="C48" s="6"/>
      <c r="D48" s="6"/>
      <c r="E48" s="6"/>
      <c r="F48" s="6"/>
      <c r="G48" s="26" t="n">
        <f aca="false">IFERROR(AVERAGE(G8:G47),0)</f>
        <v>0</v>
      </c>
      <c r="H48" s="26" t="n">
        <f aca="false">IFERROR(AVERAGE(H8:H47),0)</f>
        <v>0</v>
      </c>
      <c r="I48" s="26" t="n">
        <f aca="false">IFERROR(AVERAGE(I8:I47),0)</f>
        <v>0</v>
      </c>
      <c r="J48" s="26" t="n">
        <f aca="false">IFERROR(AVERAGE(J8:J47),0)</f>
        <v>0</v>
      </c>
      <c r="K48" s="26" t="n">
        <f aca="false">IFERROR(AVERAGE(K8:K47),0)</f>
        <v>0</v>
      </c>
      <c r="L48" s="26" t="n">
        <f aca="false">IFERROR(AVERAGE(L8:L47),0)</f>
        <v>0</v>
      </c>
      <c r="M48" s="26" t="n">
        <f aca="false">IFERROR(AVERAGE(M8:M47),0)</f>
        <v>0</v>
      </c>
      <c r="N48" s="26" t="n">
        <f aca="false">IFERROR(AVERAGE(N8:N47),0)</f>
        <v>0</v>
      </c>
      <c r="O48" s="26" t="n">
        <f aca="false">IFERROR(AVERAGE(O8:O47),0)</f>
        <v>0</v>
      </c>
      <c r="P48" s="26" t="n">
        <f aca="false">IFERROR(AVERAGE(P8:P47),0)</f>
        <v>0</v>
      </c>
      <c r="Q48" s="27"/>
    </row>
    <row r="49" customFormat="false" ht="27.75" hidden="false" customHeight="true" outlineLevel="0" collapsed="false">
      <c r="B49" s="28" t="s">
        <v>88</v>
      </c>
      <c r="C49" s="28"/>
      <c r="D49" s="28"/>
      <c r="E49" s="28"/>
      <c r="F49" s="28"/>
      <c r="G49" s="29" t="n">
        <f aca="false">IFERROR(AVERAGE(G48:P48),0)</f>
        <v>0</v>
      </c>
      <c r="H49" s="29"/>
      <c r="I49" s="29"/>
      <c r="J49" s="29"/>
      <c r="K49" s="29"/>
      <c r="L49" s="29"/>
      <c r="M49" s="29"/>
      <c r="N49" s="29"/>
      <c r="O49" s="29"/>
      <c r="P49" s="29"/>
    </row>
  </sheetData>
  <mergeCells count="6">
    <mergeCell ref="B2:L2"/>
    <mergeCell ref="B3:L3"/>
    <mergeCell ref="B7:F7"/>
    <mergeCell ref="B48:F48"/>
    <mergeCell ref="B49:F49"/>
    <mergeCell ref="G49:P49"/>
  </mergeCells>
  <dataValidations count="1">
    <dataValidation allowBlank="true" errorStyle="stop" operator="between" showDropDown="false" showErrorMessage="false" showInputMessage="false" sqref="G8:P47" type="list">
      <formula1>"1,2,3,4,5"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12" min="5" style="0" width="7"/>
    <col collapsed="false" customWidth="true" hidden="false" outlineLevel="0" max="13" min="13" style="0" width="26"/>
    <col collapsed="false" customWidth="true" hidden="false" outlineLevel="0" max="14" min="14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89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9.5" hidden="false" customHeight="true" outlineLevel="0" collapsed="false">
      <c r="B3" s="15" t="s">
        <v>90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24" hidden="false" customHeight="true" outlineLevel="0" collapsed="false">
      <c r="B6" s="20" t="s">
        <v>69</v>
      </c>
      <c r="C6" s="20" t="s">
        <v>70</v>
      </c>
      <c r="D6" s="20" t="s">
        <v>71</v>
      </c>
      <c r="E6" s="20" t="s">
        <v>74</v>
      </c>
      <c r="F6" s="20" t="s">
        <v>75</v>
      </c>
      <c r="G6" s="20" t="s">
        <v>76</v>
      </c>
      <c r="H6" s="20" t="s">
        <v>77</v>
      </c>
      <c r="I6" s="20" t="s">
        <v>78</v>
      </c>
      <c r="J6" s="20" t="s">
        <v>79</v>
      </c>
      <c r="K6" s="20" t="s">
        <v>80</v>
      </c>
      <c r="L6" s="20" t="s">
        <v>81</v>
      </c>
      <c r="M6" s="20" t="s">
        <v>84</v>
      </c>
    </row>
    <row r="7" customFormat="false" ht="18" hidden="false" customHeight="true" outlineLevel="0" collapsed="false">
      <c r="B7" s="21" t="s">
        <v>85</v>
      </c>
      <c r="C7" s="21"/>
      <c r="D7" s="21"/>
      <c r="E7" s="22" t="s">
        <v>74</v>
      </c>
      <c r="F7" s="22" t="s">
        <v>75</v>
      </c>
      <c r="G7" s="22" t="s">
        <v>76</v>
      </c>
      <c r="H7" s="22" t="s">
        <v>77</v>
      </c>
      <c r="I7" s="22" t="s">
        <v>78</v>
      </c>
      <c r="J7" s="22" t="s">
        <v>79</v>
      </c>
      <c r="K7" s="22" t="s">
        <v>80</v>
      </c>
      <c r="L7" s="22" t="s">
        <v>81</v>
      </c>
      <c r="M7" s="23" t="s">
        <v>86</v>
      </c>
    </row>
    <row r="8" customFormat="false" ht="21.75" hidden="false" customHeight="true" outlineLevel="0" collapsed="false">
      <c r="B8" s="24"/>
      <c r="C8" s="24"/>
      <c r="D8" s="25"/>
      <c r="E8" s="24"/>
      <c r="F8" s="24"/>
      <c r="G8" s="24"/>
      <c r="H8" s="24"/>
      <c r="I8" s="24"/>
      <c r="J8" s="24"/>
      <c r="K8" s="24"/>
      <c r="L8" s="24"/>
      <c r="M8" s="25"/>
    </row>
    <row r="9" customFormat="false" ht="21.75" hidden="false" customHeight="true" outlineLevel="0" collapsed="false">
      <c r="B9" s="24"/>
      <c r="C9" s="24"/>
      <c r="D9" s="25"/>
      <c r="E9" s="24"/>
      <c r="F9" s="24"/>
      <c r="G9" s="24"/>
      <c r="H9" s="24"/>
      <c r="I9" s="24"/>
      <c r="J9" s="24"/>
      <c r="K9" s="24"/>
      <c r="L9" s="24"/>
      <c r="M9" s="25"/>
    </row>
    <row r="10" customFormat="false" ht="21.75" hidden="false" customHeight="true" outlineLevel="0" collapsed="false">
      <c r="B10" s="24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5"/>
    </row>
    <row r="11" customFormat="false" ht="21.75" hidden="false" customHeight="true" outlineLevel="0" collapsed="false">
      <c r="B11" s="24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5"/>
    </row>
    <row r="12" customFormat="false" ht="21.75" hidden="false" customHeight="true" outlineLevel="0" collapsed="false">
      <c r="B12" s="24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5"/>
    </row>
    <row r="13" customFormat="false" ht="21.75" hidden="false" customHeight="true" outlineLevel="0" collapsed="false"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5"/>
    </row>
    <row r="14" customFormat="false" ht="21.75" hidden="false" customHeight="true" outlineLevel="0" collapsed="false">
      <c r="B14" s="24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5"/>
    </row>
    <row r="15" customFormat="false" ht="21.75" hidden="false" customHeight="true" outlineLevel="0" collapsed="false"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5"/>
    </row>
    <row r="16" customFormat="false" ht="21.75" hidden="false" customHeight="true" outlineLevel="0" collapsed="false"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5"/>
    </row>
    <row r="17" customFormat="false" ht="21.75" hidden="false" customHeight="true" outlineLevel="0" collapsed="false">
      <c r="B17" s="24"/>
      <c r="C17" s="24"/>
      <c r="D17" s="25"/>
      <c r="E17" s="24"/>
      <c r="F17" s="24"/>
      <c r="G17" s="24"/>
      <c r="H17" s="24"/>
      <c r="I17" s="24"/>
      <c r="J17" s="24"/>
      <c r="K17" s="24"/>
      <c r="L17" s="24"/>
      <c r="M17" s="25"/>
    </row>
    <row r="18" customFormat="false" ht="21.75" hidden="false" customHeight="true" outlineLevel="0" collapsed="false">
      <c r="B18" s="24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5"/>
    </row>
    <row r="19" customFormat="false" ht="21.75" hidden="false" customHeight="true" outlineLevel="0" collapsed="false">
      <c r="B19" s="24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5"/>
    </row>
    <row r="20" customFormat="false" ht="21.75" hidden="false" customHeight="true" outlineLevel="0" collapsed="false">
      <c r="B20" s="24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5"/>
    </row>
    <row r="21" customFormat="false" ht="21.75" hidden="false" customHeight="true" outlineLevel="0" collapsed="false">
      <c r="B21" s="24"/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5"/>
    </row>
    <row r="22" customFormat="false" ht="21.75" hidden="false" customHeight="true" outlineLevel="0" collapsed="false">
      <c r="B22" s="24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5"/>
    </row>
    <row r="23" customFormat="false" ht="21.75" hidden="false" customHeight="true" outlineLevel="0" collapsed="false"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5"/>
    </row>
    <row r="24" customFormat="false" ht="21.75" hidden="false" customHeight="true" outlineLevel="0" collapsed="false">
      <c r="B24" s="24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5"/>
    </row>
    <row r="25" customFormat="false" ht="21.75" hidden="false" customHeight="true" outlineLevel="0" collapsed="false"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5"/>
    </row>
    <row r="26" customFormat="false" ht="21.75" hidden="false" customHeight="true" outlineLevel="0" collapsed="false">
      <c r="B26" s="24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5"/>
    </row>
    <row r="27" customFormat="false" ht="21.75" hidden="false" customHeight="true" outlineLevel="0" collapsed="false">
      <c r="B27" s="24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5"/>
    </row>
    <row r="28" customFormat="false" ht="21.75" hidden="false" customHeight="true" outlineLevel="0" collapsed="false">
      <c r="B28" s="24"/>
      <c r="C28" s="24"/>
      <c r="D28" s="25"/>
      <c r="E28" s="24"/>
      <c r="F28" s="24"/>
      <c r="G28" s="24"/>
      <c r="H28" s="24"/>
      <c r="I28" s="24"/>
      <c r="J28" s="24"/>
      <c r="K28" s="24"/>
      <c r="L28" s="24"/>
      <c r="M28" s="25"/>
    </row>
    <row r="29" customFormat="false" ht="21.75" hidden="false" customHeight="true" outlineLevel="0" collapsed="false">
      <c r="B29" s="24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5"/>
    </row>
    <row r="30" customFormat="false" ht="21.75" hidden="false" customHeight="true" outlineLevel="0" collapsed="false"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5"/>
    </row>
    <row r="31" customFormat="false" ht="21.75" hidden="false" customHeight="true" outlineLevel="0" collapsed="false">
      <c r="B31" s="24"/>
      <c r="C31" s="24"/>
      <c r="D31" s="25"/>
      <c r="E31" s="24"/>
      <c r="F31" s="24"/>
      <c r="G31" s="24"/>
      <c r="H31" s="24"/>
      <c r="I31" s="24"/>
      <c r="J31" s="24"/>
      <c r="K31" s="24"/>
      <c r="L31" s="24"/>
      <c r="M31" s="25"/>
    </row>
    <row r="32" customFormat="false" ht="21.75" hidden="false" customHeight="true" outlineLevel="0" collapsed="false">
      <c r="B32" s="24"/>
      <c r="C32" s="24"/>
      <c r="D32" s="25"/>
      <c r="E32" s="24"/>
      <c r="F32" s="24"/>
      <c r="G32" s="24"/>
      <c r="H32" s="24"/>
      <c r="I32" s="24"/>
      <c r="J32" s="24"/>
      <c r="K32" s="24"/>
      <c r="L32" s="24"/>
      <c r="M32" s="25"/>
    </row>
    <row r="33" customFormat="false" ht="25.5" hidden="false" customHeight="true" outlineLevel="0" collapsed="false">
      <c r="B33" s="6" t="s">
        <v>87</v>
      </c>
      <c r="C33" s="6"/>
      <c r="D33" s="6"/>
      <c r="E33" s="26" t="n">
        <f aca="false">IFERROR(AVERAGE(E8:E32),0)</f>
        <v>0</v>
      </c>
      <c r="F33" s="26" t="n">
        <f aca="false">IFERROR(AVERAGE(F8:F32),0)</f>
        <v>0</v>
      </c>
      <c r="G33" s="26" t="n">
        <f aca="false">IFERROR(AVERAGE(G8:G32),0)</f>
        <v>0</v>
      </c>
      <c r="H33" s="26" t="n">
        <f aca="false">IFERROR(AVERAGE(H8:H32),0)</f>
        <v>0</v>
      </c>
      <c r="I33" s="26" t="n">
        <f aca="false">IFERROR(AVERAGE(I8:I32),0)</f>
        <v>0</v>
      </c>
      <c r="J33" s="26" t="n">
        <f aca="false">IFERROR(AVERAGE(J8:J32),0)</f>
        <v>0</v>
      </c>
      <c r="K33" s="26" t="n">
        <f aca="false">IFERROR(AVERAGE(K8:K32),0)</f>
        <v>0</v>
      </c>
      <c r="L33" s="26" t="n">
        <f aca="false">IFERROR(AVERAGE(L8:L32),0)</f>
        <v>0</v>
      </c>
      <c r="M33" s="27"/>
    </row>
    <row r="34" customFormat="false" ht="27.75" hidden="false" customHeight="true" outlineLevel="0" collapsed="false">
      <c r="B34" s="28" t="s">
        <v>88</v>
      </c>
      <c r="C34" s="28"/>
      <c r="D34" s="28"/>
      <c r="E34" s="29" t="n">
        <f aca="false">IFERROR(AVERAGE(E33:L33),0)</f>
        <v>0</v>
      </c>
      <c r="F34" s="29"/>
      <c r="G34" s="29"/>
      <c r="H34" s="29"/>
      <c r="I34" s="29"/>
      <c r="J34" s="29"/>
      <c r="K34" s="29"/>
      <c r="L34" s="29"/>
    </row>
  </sheetData>
  <mergeCells count="6">
    <mergeCell ref="B2:L2"/>
    <mergeCell ref="B3:L3"/>
    <mergeCell ref="B7:D7"/>
    <mergeCell ref="B33:D33"/>
    <mergeCell ref="B34:D34"/>
    <mergeCell ref="E34:L34"/>
  </mergeCells>
  <dataValidations count="1">
    <dataValidation allowBlank="true" errorStyle="stop" operator="between" showDropDown="false" showErrorMessage="false" showInputMessage="false" sqref="E8:L32" type="list">
      <formula1>"1,2,3,4,5"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12" min="7" style="0" width="7"/>
    <col collapsed="false" customWidth="true" hidden="false" outlineLevel="0" max="13" min="13" style="0" width="26"/>
    <col collapsed="false" customWidth="true" hidden="false" outlineLevel="0" max="14" min="14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91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9.5" hidden="false" customHeight="true" outlineLevel="0" collapsed="false">
      <c r="B3" s="15" t="s">
        <v>92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24" hidden="false" customHeight="true" outlineLevel="0" collapsed="false">
      <c r="B6" s="20" t="s">
        <v>69</v>
      </c>
      <c r="C6" s="20" t="s">
        <v>70</v>
      </c>
      <c r="D6" s="20" t="s">
        <v>71</v>
      </c>
      <c r="E6" s="20" t="s">
        <v>93</v>
      </c>
      <c r="F6" s="20" t="s">
        <v>73</v>
      </c>
      <c r="G6" s="20" t="s">
        <v>74</v>
      </c>
      <c r="H6" s="20" t="s">
        <v>75</v>
      </c>
      <c r="I6" s="20" t="s">
        <v>76</v>
      </c>
      <c r="J6" s="20" t="s">
        <v>77</v>
      </c>
      <c r="K6" s="20" t="s">
        <v>78</v>
      </c>
      <c r="L6" s="20" t="s">
        <v>79</v>
      </c>
      <c r="M6" s="20" t="s">
        <v>84</v>
      </c>
    </row>
    <row r="7" customFormat="false" ht="18" hidden="false" customHeight="true" outlineLevel="0" collapsed="false">
      <c r="B7" s="21" t="s">
        <v>85</v>
      </c>
      <c r="C7" s="21"/>
      <c r="D7" s="21"/>
      <c r="E7" s="21"/>
      <c r="F7" s="21"/>
      <c r="G7" s="22" t="s">
        <v>74</v>
      </c>
      <c r="H7" s="22" t="s">
        <v>75</v>
      </c>
      <c r="I7" s="22" t="s">
        <v>76</v>
      </c>
      <c r="J7" s="22" t="s">
        <v>77</v>
      </c>
      <c r="K7" s="22" t="s">
        <v>78</v>
      </c>
      <c r="L7" s="22" t="s">
        <v>79</v>
      </c>
      <c r="M7" s="23" t="s">
        <v>86</v>
      </c>
    </row>
    <row r="8" customFormat="false" ht="21.75" hidden="false" customHeight="true" outlineLevel="0" collapsed="false">
      <c r="B8" s="24"/>
      <c r="C8" s="24"/>
      <c r="D8" s="25"/>
      <c r="E8" s="24"/>
      <c r="F8" s="24"/>
      <c r="G8" s="24"/>
      <c r="H8" s="24"/>
      <c r="I8" s="24"/>
      <c r="J8" s="24"/>
      <c r="K8" s="24"/>
      <c r="L8" s="24"/>
      <c r="M8" s="25"/>
    </row>
    <row r="9" customFormat="false" ht="21.75" hidden="false" customHeight="true" outlineLevel="0" collapsed="false">
      <c r="B9" s="24"/>
      <c r="C9" s="24"/>
      <c r="D9" s="25"/>
      <c r="E9" s="24"/>
      <c r="F9" s="24"/>
      <c r="G9" s="24"/>
      <c r="H9" s="24"/>
      <c r="I9" s="24"/>
      <c r="J9" s="24"/>
      <c r="K9" s="24"/>
      <c r="L9" s="24"/>
      <c r="M9" s="25"/>
    </row>
    <row r="10" customFormat="false" ht="21.75" hidden="false" customHeight="true" outlineLevel="0" collapsed="false">
      <c r="B10" s="24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5"/>
    </row>
    <row r="11" customFormat="false" ht="21.75" hidden="false" customHeight="true" outlineLevel="0" collapsed="false">
      <c r="B11" s="24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5"/>
    </row>
    <row r="12" customFormat="false" ht="21.75" hidden="false" customHeight="true" outlineLevel="0" collapsed="false">
      <c r="B12" s="24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5"/>
    </row>
    <row r="13" customFormat="false" ht="21.75" hidden="false" customHeight="true" outlineLevel="0" collapsed="false"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5"/>
    </row>
    <row r="14" customFormat="false" ht="21.75" hidden="false" customHeight="true" outlineLevel="0" collapsed="false">
      <c r="B14" s="24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5"/>
    </row>
    <row r="15" customFormat="false" ht="21.75" hidden="false" customHeight="true" outlineLevel="0" collapsed="false"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5"/>
    </row>
    <row r="16" customFormat="false" ht="21.75" hidden="false" customHeight="true" outlineLevel="0" collapsed="false"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5"/>
    </row>
    <row r="17" customFormat="false" ht="21.75" hidden="false" customHeight="true" outlineLevel="0" collapsed="false">
      <c r="B17" s="24"/>
      <c r="C17" s="24"/>
      <c r="D17" s="25"/>
      <c r="E17" s="24"/>
      <c r="F17" s="24"/>
      <c r="G17" s="24"/>
      <c r="H17" s="24"/>
      <c r="I17" s="24"/>
      <c r="J17" s="24"/>
      <c r="K17" s="24"/>
      <c r="L17" s="24"/>
      <c r="M17" s="25"/>
    </row>
    <row r="18" customFormat="false" ht="21.75" hidden="false" customHeight="true" outlineLevel="0" collapsed="false">
      <c r="B18" s="24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5"/>
    </row>
    <row r="19" customFormat="false" ht="21.75" hidden="false" customHeight="true" outlineLevel="0" collapsed="false">
      <c r="B19" s="24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5"/>
    </row>
    <row r="20" customFormat="false" ht="21.75" hidden="false" customHeight="true" outlineLevel="0" collapsed="false">
      <c r="B20" s="24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5"/>
    </row>
    <row r="21" customFormat="false" ht="21.75" hidden="false" customHeight="true" outlineLevel="0" collapsed="false">
      <c r="B21" s="24"/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5"/>
    </row>
    <row r="22" customFormat="false" ht="21.75" hidden="false" customHeight="true" outlineLevel="0" collapsed="false">
      <c r="B22" s="24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5"/>
    </row>
    <row r="23" customFormat="false" ht="21.75" hidden="false" customHeight="true" outlineLevel="0" collapsed="false"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5"/>
    </row>
    <row r="24" customFormat="false" ht="21.75" hidden="false" customHeight="true" outlineLevel="0" collapsed="false">
      <c r="B24" s="24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5"/>
    </row>
    <row r="25" customFormat="false" ht="21.75" hidden="false" customHeight="true" outlineLevel="0" collapsed="false"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5"/>
    </row>
    <row r="26" customFormat="false" ht="21.75" hidden="false" customHeight="true" outlineLevel="0" collapsed="false">
      <c r="B26" s="24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5"/>
    </row>
    <row r="27" customFormat="false" ht="21.75" hidden="false" customHeight="true" outlineLevel="0" collapsed="false">
      <c r="B27" s="24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5"/>
    </row>
    <row r="28" customFormat="false" ht="25.5" hidden="false" customHeight="true" outlineLevel="0" collapsed="false">
      <c r="B28" s="6" t="s">
        <v>87</v>
      </c>
      <c r="C28" s="6"/>
      <c r="D28" s="6"/>
      <c r="E28" s="6"/>
      <c r="F28" s="6"/>
      <c r="G28" s="26" t="n">
        <f aca="false">IFERROR(AVERAGE(G8:G27),0)</f>
        <v>0</v>
      </c>
      <c r="H28" s="26" t="n">
        <f aca="false">IFERROR(AVERAGE(H8:H27),0)</f>
        <v>0</v>
      </c>
      <c r="I28" s="26" t="n">
        <f aca="false">IFERROR(AVERAGE(I8:I27),0)</f>
        <v>0</v>
      </c>
      <c r="J28" s="26" t="n">
        <f aca="false">IFERROR(AVERAGE(J8:J27),0)</f>
        <v>0</v>
      </c>
      <c r="K28" s="26" t="n">
        <f aca="false">IFERROR(AVERAGE(K8:K27),0)</f>
        <v>0</v>
      </c>
      <c r="L28" s="26" t="n">
        <f aca="false">IFERROR(AVERAGE(L8:L27),0)</f>
        <v>0</v>
      </c>
      <c r="M28" s="27"/>
    </row>
    <row r="29" customFormat="false" ht="27.75" hidden="false" customHeight="true" outlineLevel="0" collapsed="false">
      <c r="B29" s="28" t="s">
        <v>88</v>
      </c>
      <c r="C29" s="28"/>
      <c r="D29" s="28"/>
      <c r="E29" s="28"/>
      <c r="F29" s="28"/>
      <c r="G29" s="29" t="n">
        <f aca="false">IFERROR(AVERAGE(G28:L28),0)</f>
        <v>0</v>
      </c>
      <c r="H29" s="29"/>
      <c r="I29" s="29"/>
      <c r="J29" s="29"/>
      <c r="K29" s="29"/>
      <c r="L29" s="29"/>
    </row>
  </sheetData>
  <mergeCells count="6">
    <mergeCell ref="B2:L2"/>
    <mergeCell ref="B3:L3"/>
    <mergeCell ref="B7:F7"/>
    <mergeCell ref="B28:F28"/>
    <mergeCell ref="B29:F29"/>
    <mergeCell ref="G29:L29"/>
  </mergeCells>
  <dataValidations count="1">
    <dataValidation allowBlank="true" errorStyle="stop" operator="between" showDropDown="false" showErrorMessage="false" showInputMessage="false" sqref="G8:L27" type="list">
      <formula1>"1,2,3,4,5"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"/>
  </cols>
  <sheetData>
    <row r="1" customFormat="false" ht="15" hidden="false" customHeight="false" outlineLevel="0" collapsed="false">
      <c r="B1" s="13" t="s">
        <v>22</v>
      </c>
    </row>
    <row r="2" customFormat="false" ht="30" hidden="false" customHeight="true" outlineLevel="0" collapsed="false">
      <c r="B2" s="14" t="s">
        <v>94</v>
      </c>
      <c r="C2" s="14"/>
      <c r="D2" s="14"/>
    </row>
    <row r="3" customFormat="false" ht="19.5" hidden="false" customHeight="true" outlineLevel="0" collapsed="false">
      <c r="B3" s="15" t="s">
        <v>95</v>
      </c>
      <c r="C3" s="15"/>
      <c r="D3" s="15"/>
    </row>
    <row r="4" customFormat="false" ht="6" hidden="false" customHeight="true" outlineLevel="0" collapsed="false">
      <c r="B4" s="3"/>
      <c r="C4" s="3"/>
      <c r="D4" s="3"/>
    </row>
    <row r="6" customFormat="false" ht="27.75" hidden="false" customHeight="true" outlineLevel="0" collapsed="false">
      <c r="B6" s="30" t="s">
        <v>96</v>
      </c>
      <c r="C6" s="30" t="s">
        <v>97</v>
      </c>
      <c r="D6" s="30" t="s">
        <v>98</v>
      </c>
    </row>
    <row r="7" customFormat="false" ht="27.75" hidden="false" customHeight="true" outlineLevel="0" collapsed="false">
      <c r="B7" s="7" t="s">
        <v>99</v>
      </c>
      <c r="C7" s="8" t="n">
        <f aca="false">'🔥 Saisie Bénéficiaire'!G49</f>
        <v>0</v>
      </c>
      <c r="D7" s="31" t="n">
        <f aca="false">COUNTA('🔥 Saisie Bénéficiaire'!D8:D47)</f>
        <v>0</v>
      </c>
    </row>
    <row r="8" customFormat="false" ht="27.75" hidden="false" customHeight="true" outlineLevel="0" collapsed="false">
      <c r="B8" s="7" t="s">
        <v>100</v>
      </c>
      <c r="C8" s="8" t="n">
        <f aca="false">'🎓 Saisie Formateur'!E34</f>
        <v>0</v>
      </c>
      <c r="D8" s="31" t="n">
        <f aca="false">COUNTA('🎓 Saisie Formateur'!D8:D32)</f>
        <v>0</v>
      </c>
    </row>
    <row r="9" customFormat="false" ht="27.75" hidden="false" customHeight="true" outlineLevel="0" collapsed="false">
      <c r="B9" s="7" t="s">
        <v>101</v>
      </c>
      <c r="C9" s="8" t="n">
        <f aca="false">'🤝 Saisie Entreprise'!G29</f>
        <v>0</v>
      </c>
      <c r="D9" s="31" t="n">
        <f aca="false">COUNTA('🤝 Saisie Entreprise'!D8:D27)</f>
        <v>0</v>
      </c>
    </row>
    <row r="11" customFormat="false" ht="30" hidden="false" customHeight="true" outlineLevel="0" collapsed="false">
      <c r="B11" s="32" t="s">
        <v>102</v>
      </c>
      <c r="C11" s="33" t="n">
        <f aca="false">IFERROR(AVERAGE('🔥 Saisie Bénéficiaire'!G49,'🎓 Saisie Formateur'!E34,'🤝 Saisie Entreprise'!G29),0)</f>
        <v>0</v>
      </c>
    </row>
    <row r="12" customFormat="false" ht="27.75" hidden="false" customHeight="true" outlineLevel="0" collapsed="false">
      <c r="B12" s="7" t="s">
        <v>103</v>
      </c>
      <c r="C12" s="9" t="n">
        <f aca="false">IFERROR(COUNTIF('🔥 Saisie Bénéficiaire'!F8:F47,"O")/COUNTA('🔥 Saisie Bénéficiaire'!F8:F47),0)</f>
        <v>0</v>
      </c>
    </row>
    <row r="14" customFormat="false" ht="24" hidden="false" customHeight="true" outlineLevel="0" collapsed="false">
      <c r="B14" s="34" t="s">
        <v>104</v>
      </c>
      <c r="C14" s="34"/>
      <c r="D14" s="34"/>
    </row>
    <row r="15" customFormat="false" ht="39.75" hidden="false" customHeight="true" outlineLevel="0" collapsed="false">
      <c r="B15" s="7" t="s">
        <v>105</v>
      </c>
      <c r="C15" s="35" t="s">
        <v>106</v>
      </c>
      <c r="D15" s="35"/>
    </row>
    <row r="16" customFormat="false" ht="39.75" hidden="false" customHeight="true" outlineLevel="0" collapsed="false">
      <c r="B16" s="7" t="s">
        <v>107</v>
      </c>
      <c r="C16" s="35" t="s">
        <v>108</v>
      </c>
      <c r="D16" s="35"/>
    </row>
    <row r="17" customFormat="false" ht="39.75" hidden="false" customHeight="true" outlineLevel="0" collapsed="false">
      <c r="B17" s="7" t="s">
        <v>109</v>
      </c>
      <c r="C17" s="35" t="s">
        <v>110</v>
      </c>
      <c r="D17" s="35"/>
    </row>
    <row r="18" customFormat="false" ht="39.75" hidden="false" customHeight="true" outlineLevel="0" collapsed="false">
      <c r="B18" s="7" t="s">
        <v>111</v>
      </c>
      <c r="C18" s="35" t="s">
        <v>112</v>
      </c>
      <c r="D18" s="35"/>
    </row>
  </sheetData>
  <mergeCells count="7">
    <mergeCell ref="B2:D2"/>
    <mergeCell ref="B3:D3"/>
    <mergeCell ref="B14:D14"/>
    <mergeCell ref="C15:D15"/>
    <mergeCell ref="C16:D16"/>
    <mergeCell ref="C17:D17"/>
    <mergeCell ref="C18:D18"/>
  </mergeCell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1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113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9.5" hidden="false" customHeight="true" outlineLevel="0" collapsed="false">
      <c r="B3" s="15" t="s">
        <v>114</v>
      </c>
      <c r="C3" s="15"/>
      <c r="D3" s="15"/>
      <c r="E3" s="15"/>
      <c r="F3" s="15"/>
      <c r="G3" s="15"/>
      <c r="H3" s="15"/>
      <c r="I3" s="15"/>
      <c r="J3" s="15"/>
      <c r="K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30" hidden="false" customHeight="true" outlineLevel="0" collapsed="false">
      <c r="B6" s="20" t="s">
        <v>69</v>
      </c>
      <c r="C6" s="20" t="s">
        <v>115</v>
      </c>
      <c r="D6" s="20" t="s">
        <v>116</v>
      </c>
      <c r="E6" s="20" t="s">
        <v>28</v>
      </c>
      <c r="F6" s="20" t="s">
        <v>117</v>
      </c>
      <c r="G6" s="20" t="s">
        <v>118</v>
      </c>
      <c r="H6" s="20" t="s">
        <v>119</v>
      </c>
      <c r="I6" s="20" t="s">
        <v>120</v>
      </c>
      <c r="J6" s="20" t="s">
        <v>121</v>
      </c>
      <c r="K6" s="20" t="s">
        <v>122</v>
      </c>
    </row>
    <row r="7" customFormat="false" ht="30" hidden="false" customHeight="true" outlineLevel="0" collapsed="false">
      <c r="B7" s="36" t="s">
        <v>123</v>
      </c>
      <c r="C7" s="36" t="s">
        <v>124</v>
      </c>
      <c r="D7" s="37" t="s">
        <v>125</v>
      </c>
      <c r="E7" s="37" t="s">
        <v>126</v>
      </c>
      <c r="F7" s="37" t="s">
        <v>127</v>
      </c>
      <c r="G7" s="37" t="s">
        <v>128</v>
      </c>
      <c r="H7" s="36" t="s">
        <v>129</v>
      </c>
      <c r="I7" s="36" t="s">
        <v>130</v>
      </c>
      <c r="J7" s="37" t="s">
        <v>131</v>
      </c>
      <c r="K7" s="36" t="s">
        <v>132</v>
      </c>
    </row>
    <row r="8" customFormat="false" ht="30" hidden="false" customHeight="true" outlineLevel="0" collapsed="false">
      <c r="B8" s="36" t="s">
        <v>133</v>
      </c>
      <c r="C8" s="36" t="s">
        <v>134</v>
      </c>
      <c r="D8" s="37" t="s">
        <v>135</v>
      </c>
      <c r="E8" s="37" t="s">
        <v>136</v>
      </c>
      <c r="F8" s="37" t="s">
        <v>137</v>
      </c>
      <c r="G8" s="37" t="s">
        <v>138</v>
      </c>
      <c r="H8" s="36" t="s">
        <v>129</v>
      </c>
      <c r="I8" s="36" t="s">
        <v>139</v>
      </c>
      <c r="J8" s="37" t="s">
        <v>140</v>
      </c>
      <c r="K8" s="36" t="s">
        <v>132</v>
      </c>
    </row>
    <row r="9" customFormat="false" ht="24" hidden="false" customHeight="true" outlineLevel="0" collapsed="false">
      <c r="B9" s="24"/>
      <c r="C9" s="24"/>
      <c r="D9" s="38"/>
      <c r="E9" s="38"/>
      <c r="F9" s="38"/>
      <c r="G9" s="38"/>
      <c r="H9" s="24"/>
      <c r="I9" s="24"/>
      <c r="J9" s="38"/>
      <c r="K9" s="24"/>
    </row>
    <row r="10" customFormat="false" ht="24" hidden="false" customHeight="true" outlineLevel="0" collapsed="false">
      <c r="B10" s="24"/>
      <c r="C10" s="24"/>
      <c r="D10" s="38"/>
      <c r="E10" s="38"/>
      <c r="F10" s="38"/>
      <c r="G10" s="38"/>
      <c r="H10" s="24"/>
      <c r="I10" s="24"/>
      <c r="J10" s="38"/>
      <c r="K10" s="24"/>
    </row>
    <row r="11" customFormat="false" ht="24" hidden="false" customHeight="true" outlineLevel="0" collapsed="false">
      <c r="B11" s="24"/>
      <c r="C11" s="24"/>
      <c r="D11" s="38"/>
      <c r="E11" s="38"/>
      <c r="F11" s="38"/>
      <c r="G11" s="38"/>
      <c r="H11" s="24"/>
      <c r="I11" s="24"/>
      <c r="J11" s="38"/>
      <c r="K11" s="24"/>
    </row>
    <row r="12" customFormat="false" ht="24" hidden="false" customHeight="true" outlineLevel="0" collapsed="false">
      <c r="B12" s="24"/>
      <c r="C12" s="24"/>
      <c r="D12" s="38"/>
      <c r="E12" s="38"/>
      <c r="F12" s="38"/>
      <c r="G12" s="38"/>
      <c r="H12" s="24"/>
      <c r="I12" s="24"/>
      <c r="J12" s="38"/>
      <c r="K12" s="24"/>
    </row>
    <row r="13" customFormat="false" ht="24" hidden="false" customHeight="true" outlineLevel="0" collapsed="false">
      <c r="B13" s="24"/>
      <c r="C13" s="24"/>
      <c r="D13" s="38"/>
      <c r="E13" s="38"/>
      <c r="F13" s="38"/>
      <c r="G13" s="38"/>
      <c r="H13" s="24"/>
      <c r="I13" s="24"/>
      <c r="J13" s="38"/>
      <c r="K13" s="24"/>
    </row>
    <row r="14" customFormat="false" ht="24" hidden="false" customHeight="true" outlineLevel="0" collapsed="false">
      <c r="B14" s="24"/>
      <c r="C14" s="24"/>
      <c r="D14" s="38"/>
      <c r="E14" s="38"/>
      <c r="F14" s="38"/>
      <c r="G14" s="38"/>
      <c r="H14" s="24"/>
      <c r="I14" s="24"/>
      <c r="J14" s="38"/>
      <c r="K14" s="24"/>
    </row>
    <row r="15" customFormat="false" ht="24" hidden="false" customHeight="true" outlineLevel="0" collapsed="false">
      <c r="B15" s="24"/>
      <c r="C15" s="24"/>
      <c r="D15" s="38"/>
      <c r="E15" s="38"/>
      <c r="F15" s="38"/>
      <c r="G15" s="38"/>
      <c r="H15" s="24"/>
      <c r="I15" s="24"/>
      <c r="J15" s="38"/>
      <c r="K15" s="24"/>
    </row>
    <row r="16" customFormat="false" ht="24" hidden="false" customHeight="true" outlineLevel="0" collapsed="false">
      <c r="B16" s="24"/>
      <c r="C16" s="24"/>
      <c r="D16" s="38"/>
      <c r="E16" s="38"/>
      <c r="F16" s="38"/>
      <c r="G16" s="38"/>
      <c r="H16" s="24"/>
      <c r="I16" s="24"/>
      <c r="J16" s="38"/>
      <c r="K16" s="24"/>
    </row>
    <row r="17" customFormat="false" ht="24" hidden="false" customHeight="true" outlineLevel="0" collapsed="false">
      <c r="B17" s="24"/>
      <c r="C17" s="24"/>
      <c r="D17" s="38"/>
      <c r="E17" s="38"/>
      <c r="F17" s="38"/>
      <c r="G17" s="38"/>
      <c r="H17" s="24"/>
      <c r="I17" s="24"/>
      <c r="J17" s="38"/>
      <c r="K17" s="24"/>
    </row>
    <row r="18" customFormat="false" ht="24" hidden="false" customHeight="true" outlineLevel="0" collapsed="false">
      <c r="B18" s="24"/>
      <c r="C18" s="24"/>
      <c r="D18" s="38"/>
      <c r="E18" s="38"/>
      <c r="F18" s="38"/>
      <c r="G18" s="38"/>
      <c r="H18" s="24"/>
      <c r="I18" s="24"/>
      <c r="J18" s="38"/>
      <c r="K18" s="24"/>
    </row>
    <row r="19" customFormat="false" ht="24" hidden="false" customHeight="true" outlineLevel="0" collapsed="false">
      <c r="B19" s="24"/>
      <c r="C19" s="24"/>
      <c r="D19" s="38"/>
      <c r="E19" s="38"/>
      <c r="F19" s="38"/>
      <c r="G19" s="38"/>
      <c r="H19" s="24"/>
      <c r="I19" s="24"/>
      <c r="J19" s="38"/>
      <c r="K19" s="24"/>
    </row>
    <row r="20" customFormat="false" ht="24" hidden="false" customHeight="true" outlineLevel="0" collapsed="false">
      <c r="B20" s="24"/>
      <c r="C20" s="24"/>
      <c r="D20" s="38"/>
      <c r="E20" s="38"/>
      <c r="F20" s="38"/>
      <c r="G20" s="38"/>
      <c r="H20" s="24"/>
      <c r="I20" s="24"/>
      <c r="J20" s="38"/>
      <c r="K20" s="24"/>
    </row>
    <row r="21" customFormat="false" ht="24" hidden="false" customHeight="true" outlineLevel="0" collapsed="false">
      <c r="B21" s="24"/>
      <c r="C21" s="24"/>
      <c r="D21" s="38"/>
      <c r="E21" s="38"/>
      <c r="F21" s="38"/>
      <c r="G21" s="38"/>
      <c r="H21" s="24"/>
      <c r="I21" s="24"/>
      <c r="J21" s="38"/>
      <c r="K21" s="24"/>
    </row>
    <row r="22" customFormat="false" ht="24" hidden="false" customHeight="true" outlineLevel="0" collapsed="false">
      <c r="B22" s="24"/>
      <c r="C22" s="24"/>
      <c r="D22" s="38"/>
      <c r="E22" s="38"/>
      <c r="F22" s="38"/>
      <c r="G22" s="38"/>
      <c r="H22" s="24"/>
      <c r="I22" s="24"/>
      <c r="J22" s="38"/>
      <c r="K22" s="24"/>
    </row>
    <row r="23" customFormat="false" ht="24" hidden="false" customHeight="true" outlineLevel="0" collapsed="false">
      <c r="B23" s="24"/>
      <c r="C23" s="24"/>
      <c r="D23" s="38"/>
      <c r="E23" s="38"/>
      <c r="F23" s="38"/>
      <c r="G23" s="38"/>
      <c r="H23" s="24"/>
      <c r="I23" s="24"/>
      <c r="J23" s="38"/>
      <c r="K23" s="24"/>
    </row>
    <row r="24" customFormat="false" ht="24" hidden="false" customHeight="true" outlineLevel="0" collapsed="false">
      <c r="B24" s="24"/>
      <c r="C24" s="24"/>
      <c r="D24" s="38"/>
      <c r="E24" s="38"/>
      <c r="F24" s="38"/>
      <c r="G24" s="38"/>
      <c r="H24" s="24"/>
      <c r="I24" s="24"/>
      <c r="J24" s="38"/>
      <c r="K24" s="24"/>
    </row>
    <row r="25" customFormat="false" ht="24" hidden="false" customHeight="true" outlineLevel="0" collapsed="false">
      <c r="B25" s="24"/>
      <c r="C25" s="24"/>
      <c r="D25" s="38"/>
      <c r="E25" s="38"/>
      <c r="F25" s="38"/>
      <c r="G25" s="38"/>
      <c r="H25" s="24"/>
      <c r="I25" s="24"/>
      <c r="J25" s="38"/>
      <c r="K25" s="24"/>
    </row>
    <row r="26" customFormat="false" ht="24" hidden="false" customHeight="true" outlineLevel="0" collapsed="false">
      <c r="B26" s="24"/>
      <c r="C26" s="24"/>
      <c r="D26" s="38"/>
      <c r="E26" s="38"/>
      <c r="F26" s="38"/>
      <c r="G26" s="38"/>
      <c r="H26" s="24"/>
      <c r="I26" s="24"/>
      <c r="J26" s="38"/>
      <c r="K26" s="24"/>
    </row>
    <row r="27" customFormat="false" ht="24" hidden="false" customHeight="true" outlineLevel="0" collapsed="false">
      <c r="B27" s="24"/>
      <c r="C27" s="24"/>
      <c r="D27" s="38"/>
      <c r="E27" s="38"/>
      <c r="F27" s="38"/>
      <c r="G27" s="38"/>
      <c r="H27" s="24"/>
      <c r="I27" s="24"/>
      <c r="J27" s="38"/>
      <c r="K27" s="24"/>
    </row>
    <row r="28" customFormat="false" ht="24" hidden="false" customHeight="true" outlineLevel="0" collapsed="false">
      <c r="B28" s="24"/>
      <c r="C28" s="24"/>
      <c r="D28" s="38"/>
      <c r="E28" s="38"/>
      <c r="F28" s="38"/>
      <c r="G28" s="38"/>
      <c r="H28" s="24"/>
      <c r="I28" s="24"/>
      <c r="J28" s="38"/>
      <c r="K28" s="24"/>
    </row>
    <row r="29" customFormat="false" ht="24" hidden="false" customHeight="true" outlineLevel="0" collapsed="false">
      <c r="B29" s="24"/>
      <c r="C29" s="24"/>
      <c r="D29" s="38"/>
      <c r="E29" s="38"/>
      <c r="F29" s="38"/>
      <c r="G29" s="38"/>
      <c r="H29" s="24"/>
      <c r="I29" s="24"/>
      <c r="J29" s="38"/>
      <c r="K29" s="24"/>
    </row>
    <row r="30" customFormat="false" ht="24" hidden="false" customHeight="true" outlineLevel="0" collapsed="false">
      <c r="B30" s="24"/>
      <c r="C30" s="24"/>
      <c r="D30" s="38"/>
      <c r="E30" s="38"/>
      <c r="F30" s="38"/>
      <c r="G30" s="38"/>
      <c r="H30" s="24"/>
      <c r="I30" s="24"/>
      <c r="J30" s="38"/>
      <c r="K30" s="24"/>
    </row>
    <row r="31" customFormat="false" ht="24" hidden="false" customHeight="true" outlineLevel="0" collapsed="false">
      <c r="B31" s="24"/>
      <c r="C31" s="24"/>
      <c r="D31" s="38"/>
      <c r="E31" s="38"/>
      <c r="F31" s="38"/>
      <c r="G31" s="38"/>
      <c r="H31" s="24"/>
      <c r="I31" s="24"/>
      <c r="J31" s="38"/>
      <c r="K31" s="24"/>
    </row>
    <row r="32" customFormat="false" ht="24" hidden="false" customHeight="true" outlineLevel="0" collapsed="false">
      <c r="B32" s="24"/>
      <c r="C32" s="24"/>
      <c r="D32" s="38"/>
      <c r="E32" s="38"/>
      <c r="F32" s="38"/>
      <c r="G32" s="38"/>
      <c r="H32" s="24"/>
      <c r="I32" s="24"/>
      <c r="J32" s="38"/>
      <c r="K32" s="24"/>
    </row>
    <row r="33" customFormat="false" ht="24" hidden="false" customHeight="true" outlineLevel="0" collapsed="false">
      <c r="B33" s="24"/>
      <c r="C33" s="24"/>
      <c r="D33" s="38"/>
      <c r="E33" s="38"/>
      <c r="F33" s="38"/>
      <c r="G33" s="38"/>
      <c r="H33" s="24"/>
      <c r="I33" s="24"/>
      <c r="J33" s="38"/>
      <c r="K33" s="24"/>
    </row>
    <row r="35" customFormat="false" ht="25.5" hidden="false" customHeight="true" outlineLevel="0" collapsed="false">
      <c r="B35" s="6" t="s">
        <v>141</v>
      </c>
      <c r="C35" s="6"/>
      <c r="D35" s="6"/>
      <c r="E35" s="7" t="s">
        <v>142</v>
      </c>
      <c r="F35" s="39" t="n">
        <f aca="false">COUNTA(F9:F33)</f>
        <v>0</v>
      </c>
      <c r="G35" s="7" t="s">
        <v>143</v>
      </c>
      <c r="H35" s="39" t="n">
        <f aca="false">COUNTIF(K9:K33,"Clôturée")</f>
        <v>0</v>
      </c>
      <c r="I35" s="7" t="s">
        <v>144</v>
      </c>
      <c r="J35" s="40" t="n">
        <f aca="false">COUNTIF(K9:K33,"En retard")</f>
        <v>0</v>
      </c>
    </row>
  </sheetData>
  <mergeCells count="3">
    <mergeCell ref="B2:K2"/>
    <mergeCell ref="B3:K3"/>
    <mergeCell ref="B35:D35"/>
  </mergeCells>
  <conditionalFormatting sqref="K9:K33">
    <cfRule type="expression" priority="2" aboveAverage="0" equalAverage="0" bottom="0" percent="0" rank="0" text="" dxfId="0">
      <formula>K9="Clôturée"</formula>
    </cfRule>
    <cfRule type="expression" priority="3" aboveAverage="0" equalAverage="0" bottom="0" percent="0" rank="0" text="" dxfId="1">
      <formula>K9="En cours"</formula>
    </cfRule>
    <cfRule type="expression" priority="4" aboveAverage="0" equalAverage="0" bottom="0" percent="0" rank="0" text="" dxfId="2">
      <formula>K9="En retard"</formula>
    </cfRule>
    <cfRule type="expression" priority="5" aboveAverage="0" equalAverage="0" bottom="0" percent="0" rank="0" text="" dxfId="3">
      <formula>K9="Reçue"</formula>
    </cfRule>
  </conditionalFormatting>
  <dataValidations count="4">
    <dataValidation allowBlank="true" errorStyle="stop" operator="between" showDropDown="false" showErrorMessage="false" showInputMessage="false" sqref="D9:D33" type="list">
      <formula1>"Bénéficiaire,Entreprise,Financeur,Maître appr.,Autre"</formula1>
      <formula2>0</formula2>
    </dataValidation>
    <dataValidation allowBlank="true" errorStyle="stop" operator="between" showDropDown="false" showErrorMessage="false" showInputMessage="false" sqref="G9:G33" type="list">
      <formula1>"Mineur,Modéré,Majeur,Critique"</formula1>
      <formula2>0</formula2>
    </dataValidation>
    <dataValidation allowBlank="true" errorStyle="stop" operator="between" showDropDown="false" showErrorMessage="false" showInputMessage="false" sqref="H9:H33" type="list">
      <formula1>"Oui,Non"</formula1>
      <formula2>0</formula2>
    </dataValidation>
    <dataValidation allowBlank="true" errorStyle="stop" operator="between" showDropDown="false" showErrorMessage="false" showInputMessage="false" sqref="K9:K33" type="list">
      <formula1>"Clôturée,En cours,En retard,Reçue"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145</v>
      </c>
      <c r="C2" s="19"/>
      <c r="D2" s="19"/>
      <c r="E2" s="19"/>
      <c r="F2" s="19"/>
      <c r="G2" s="19"/>
      <c r="H2" s="19"/>
      <c r="I2" s="19"/>
      <c r="J2" s="19"/>
    </row>
    <row r="3" customFormat="false" ht="19.5" hidden="false" customHeight="true" outlineLevel="0" collapsed="false">
      <c r="B3" s="15" t="s">
        <v>146</v>
      </c>
      <c r="C3" s="15"/>
      <c r="D3" s="15"/>
      <c r="E3" s="15"/>
      <c r="F3" s="15"/>
      <c r="G3" s="15"/>
      <c r="H3" s="15"/>
      <c r="I3" s="15"/>
      <c r="J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6" customFormat="false" ht="31.5" hidden="false" customHeight="true" outlineLevel="0" collapsed="false">
      <c r="B6" s="20" t="s">
        <v>69</v>
      </c>
      <c r="C6" s="20" t="s">
        <v>147</v>
      </c>
      <c r="D6" s="20" t="s">
        <v>148</v>
      </c>
      <c r="E6" s="20" t="s">
        <v>149</v>
      </c>
      <c r="F6" s="20" t="s">
        <v>150</v>
      </c>
      <c r="G6" s="20" t="s">
        <v>151</v>
      </c>
      <c r="H6" s="20" t="s">
        <v>152</v>
      </c>
      <c r="I6" s="20" t="s">
        <v>153</v>
      </c>
      <c r="J6" s="20" t="s">
        <v>122</v>
      </c>
    </row>
    <row r="7" customFormat="false" ht="31.5" hidden="false" customHeight="true" outlineLevel="0" collapsed="false">
      <c r="B7" s="36" t="s">
        <v>154</v>
      </c>
      <c r="C7" s="36" t="s">
        <v>155</v>
      </c>
      <c r="D7" s="37" t="s">
        <v>156</v>
      </c>
      <c r="E7" s="37" t="s">
        <v>157</v>
      </c>
      <c r="F7" s="37" t="s">
        <v>158</v>
      </c>
      <c r="G7" s="37" t="s">
        <v>159</v>
      </c>
      <c r="H7" s="36" t="s">
        <v>160</v>
      </c>
      <c r="I7" s="36" t="s">
        <v>161</v>
      </c>
      <c r="J7" s="36" t="s">
        <v>162</v>
      </c>
    </row>
    <row r="8" customFormat="false" ht="31.5" hidden="false" customHeight="true" outlineLevel="0" collapsed="false">
      <c r="B8" s="36" t="s">
        <v>163</v>
      </c>
      <c r="C8" s="36" t="s">
        <v>134</v>
      </c>
      <c r="D8" s="37" t="s">
        <v>164</v>
      </c>
      <c r="E8" s="37" t="s">
        <v>165</v>
      </c>
      <c r="F8" s="37" t="s">
        <v>166</v>
      </c>
      <c r="G8" s="37" t="s">
        <v>167</v>
      </c>
      <c r="H8" s="36" t="s">
        <v>168</v>
      </c>
      <c r="I8" s="36" t="s">
        <v>169</v>
      </c>
      <c r="J8" s="36" t="s">
        <v>162</v>
      </c>
    </row>
    <row r="9" customFormat="false" ht="31.5" hidden="false" customHeight="true" outlineLevel="0" collapsed="false">
      <c r="B9" s="36" t="s">
        <v>170</v>
      </c>
      <c r="C9" s="36" t="s">
        <v>171</v>
      </c>
      <c r="D9" s="37" t="s">
        <v>172</v>
      </c>
      <c r="E9" s="37" t="s">
        <v>173</v>
      </c>
      <c r="F9" s="37" t="s">
        <v>174</v>
      </c>
      <c r="G9" s="37" t="s">
        <v>175</v>
      </c>
      <c r="H9" s="36" t="s">
        <v>176</v>
      </c>
      <c r="I9" s="36" t="s">
        <v>169</v>
      </c>
      <c r="J9" s="36" t="s">
        <v>162</v>
      </c>
    </row>
    <row r="10" customFormat="false" ht="25.5" hidden="false" customHeight="true" outlineLevel="0" collapsed="false">
      <c r="B10" s="24"/>
      <c r="C10" s="24"/>
      <c r="D10" s="38"/>
      <c r="E10" s="38"/>
      <c r="F10" s="38"/>
      <c r="G10" s="38"/>
      <c r="H10" s="24"/>
      <c r="I10" s="24"/>
      <c r="J10" s="24"/>
    </row>
    <row r="11" customFormat="false" ht="25.5" hidden="false" customHeight="true" outlineLevel="0" collapsed="false">
      <c r="B11" s="24"/>
      <c r="C11" s="24"/>
      <c r="D11" s="38"/>
      <c r="E11" s="38"/>
      <c r="F11" s="38"/>
      <c r="G11" s="38"/>
      <c r="H11" s="24"/>
      <c r="I11" s="24"/>
      <c r="J11" s="24"/>
    </row>
    <row r="12" customFormat="false" ht="25.5" hidden="false" customHeight="true" outlineLevel="0" collapsed="false">
      <c r="B12" s="24"/>
      <c r="C12" s="24"/>
      <c r="D12" s="38"/>
      <c r="E12" s="38"/>
      <c r="F12" s="38"/>
      <c r="G12" s="38"/>
      <c r="H12" s="24"/>
      <c r="I12" s="24"/>
      <c r="J12" s="24"/>
    </row>
    <row r="13" customFormat="false" ht="25.5" hidden="false" customHeight="true" outlineLevel="0" collapsed="false">
      <c r="B13" s="24"/>
      <c r="C13" s="24"/>
      <c r="D13" s="38"/>
      <c r="E13" s="38"/>
      <c r="F13" s="38"/>
      <c r="G13" s="38"/>
      <c r="H13" s="24"/>
      <c r="I13" s="24"/>
      <c r="J13" s="24"/>
    </row>
    <row r="14" customFormat="false" ht="25.5" hidden="false" customHeight="true" outlineLevel="0" collapsed="false">
      <c r="B14" s="24"/>
      <c r="C14" s="24"/>
      <c r="D14" s="38"/>
      <c r="E14" s="38"/>
      <c r="F14" s="38"/>
      <c r="G14" s="38"/>
      <c r="H14" s="24"/>
      <c r="I14" s="24"/>
      <c r="J14" s="24"/>
    </row>
    <row r="15" customFormat="false" ht="25.5" hidden="false" customHeight="true" outlineLevel="0" collapsed="false">
      <c r="B15" s="24"/>
      <c r="C15" s="24"/>
      <c r="D15" s="38"/>
      <c r="E15" s="38"/>
      <c r="F15" s="38"/>
      <c r="G15" s="38"/>
      <c r="H15" s="24"/>
      <c r="I15" s="24"/>
      <c r="J15" s="24"/>
    </row>
    <row r="16" customFormat="false" ht="25.5" hidden="false" customHeight="true" outlineLevel="0" collapsed="false">
      <c r="B16" s="24"/>
      <c r="C16" s="24"/>
      <c r="D16" s="38"/>
      <c r="E16" s="38"/>
      <c r="F16" s="38"/>
      <c r="G16" s="38"/>
      <c r="H16" s="24"/>
      <c r="I16" s="24"/>
      <c r="J16" s="24"/>
    </row>
    <row r="17" customFormat="false" ht="25.5" hidden="false" customHeight="true" outlineLevel="0" collapsed="false">
      <c r="B17" s="24"/>
      <c r="C17" s="24"/>
      <c r="D17" s="38"/>
      <c r="E17" s="38"/>
      <c r="F17" s="38"/>
      <c r="G17" s="38"/>
      <c r="H17" s="24"/>
      <c r="I17" s="24"/>
      <c r="J17" s="24"/>
    </row>
    <row r="18" customFormat="false" ht="25.5" hidden="false" customHeight="true" outlineLevel="0" collapsed="false">
      <c r="B18" s="24"/>
      <c r="C18" s="24"/>
      <c r="D18" s="38"/>
      <c r="E18" s="38"/>
      <c r="F18" s="38"/>
      <c r="G18" s="38"/>
      <c r="H18" s="24"/>
      <c r="I18" s="24"/>
      <c r="J18" s="24"/>
    </row>
    <row r="19" customFormat="false" ht="25.5" hidden="false" customHeight="true" outlineLevel="0" collapsed="false">
      <c r="B19" s="24"/>
      <c r="C19" s="24"/>
      <c r="D19" s="38"/>
      <c r="E19" s="38"/>
      <c r="F19" s="38"/>
      <c r="G19" s="38"/>
      <c r="H19" s="24"/>
      <c r="I19" s="24"/>
      <c r="J19" s="24"/>
    </row>
    <row r="20" customFormat="false" ht="25.5" hidden="false" customHeight="true" outlineLevel="0" collapsed="false">
      <c r="B20" s="24"/>
      <c r="C20" s="24"/>
      <c r="D20" s="38"/>
      <c r="E20" s="38"/>
      <c r="F20" s="38"/>
      <c r="G20" s="38"/>
      <c r="H20" s="24"/>
      <c r="I20" s="24"/>
      <c r="J20" s="24"/>
    </row>
    <row r="21" customFormat="false" ht="25.5" hidden="false" customHeight="true" outlineLevel="0" collapsed="false">
      <c r="B21" s="24"/>
      <c r="C21" s="24"/>
      <c r="D21" s="38"/>
      <c r="E21" s="38"/>
      <c r="F21" s="38"/>
      <c r="G21" s="38"/>
      <c r="H21" s="24"/>
      <c r="I21" s="24"/>
      <c r="J21" s="24"/>
    </row>
    <row r="22" customFormat="false" ht="25.5" hidden="false" customHeight="true" outlineLevel="0" collapsed="false">
      <c r="B22" s="24"/>
      <c r="C22" s="24"/>
      <c r="D22" s="38"/>
      <c r="E22" s="38"/>
      <c r="F22" s="38"/>
      <c r="G22" s="38"/>
      <c r="H22" s="24"/>
      <c r="I22" s="24"/>
      <c r="J22" s="24"/>
    </row>
    <row r="23" customFormat="false" ht="25.5" hidden="false" customHeight="true" outlineLevel="0" collapsed="false">
      <c r="B23" s="24"/>
      <c r="C23" s="24"/>
      <c r="D23" s="38"/>
      <c r="E23" s="38"/>
      <c r="F23" s="38"/>
      <c r="G23" s="38"/>
      <c r="H23" s="24"/>
      <c r="I23" s="24"/>
      <c r="J23" s="24"/>
    </row>
    <row r="24" customFormat="false" ht="25.5" hidden="false" customHeight="true" outlineLevel="0" collapsed="false">
      <c r="B24" s="24"/>
      <c r="C24" s="24"/>
      <c r="D24" s="38"/>
      <c r="E24" s="38"/>
      <c r="F24" s="38"/>
      <c r="G24" s="38"/>
      <c r="H24" s="24"/>
      <c r="I24" s="24"/>
      <c r="J24" s="24"/>
    </row>
    <row r="25" customFormat="false" ht="25.5" hidden="false" customHeight="true" outlineLevel="0" collapsed="false">
      <c r="B25" s="24"/>
      <c r="C25" s="24"/>
      <c r="D25" s="38"/>
      <c r="E25" s="38"/>
      <c r="F25" s="38"/>
      <c r="G25" s="38"/>
      <c r="H25" s="24"/>
      <c r="I25" s="24"/>
      <c r="J25" s="24"/>
    </row>
    <row r="26" customFormat="false" ht="25.5" hidden="false" customHeight="true" outlineLevel="0" collapsed="false">
      <c r="B26" s="24"/>
      <c r="C26" s="24"/>
      <c r="D26" s="38"/>
      <c r="E26" s="38"/>
      <c r="F26" s="38"/>
      <c r="G26" s="38"/>
      <c r="H26" s="24"/>
      <c r="I26" s="24"/>
      <c r="J26" s="24"/>
    </row>
    <row r="27" customFormat="false" ht="25.5" hidden="false" customHeight="true" outlineLevel="0" collapsed="false">
      <c r="B27" s="24"/>
      <c r="C27" s="24"/>
      <c r="D27" s="38"/>
      <c r="E27" s="38"/>
      <c r="F27" s="38"/>
      <c r="G27" s="38"/>
      <c r="H27" s="24"/>
      <c r="I27" s="24"/>
      <c r="J27" s="24"/>
    </row>
    <row r="28" customFormat="false" ht="25.5" hidden="false" customHeight="true" outlineLevel="0" collapsed="false">
      <c r="B28" s="24"/>
      <c r="C28" s="24"/>
      <c r="D28" s="38"/>
      <c r="E28" s="38"/>
      <c r="F28" s="38"/>
      <c r="G28" s="38"/>
      <c r="H28" s="24"/>
      <c r="I28" s="24"/>
      <c r="J28" s="24"/>
    </row>
    <row r="29" customFormat="false" ht="25.5" hidden="false" customHeight="true" outlineLevel="0" collapsed="false">
      <c r="B29" s="24"/>
      <c r="C29" s="24"/>
      <c r="D29" s="38"/>
      <c r="E29" s="38"/>
      <c r="F29" s="38"/>
      <c r="G29" s="38"/>
      <c r="H29" s="24"/>
      <c r="I29" s="24"/>
      <c r="J29" s="24"/>
    </row>
    <row r="30" customFormat="false" ht="25.5" hidden="false" customHeight="true" outlineLevel="0" collapsed="false">
      <c r="B30" s="24"/>
      <c r="C30" s="24"/>
      <c r="D30" s="38"/>
      <c r="E30" s="38"/>
      <c r="F30" s="38"/>
      <c r="G30" s="38"/>
      <c r="H30" s="24"/>
      <c r="I30" s="24"/>
      <c r="J30" s="24"/>
    </row>
    <row r="31" customFormat="false" ht="25.5" hidden="false" customHeight="true" outlineLevel="0" collapsed="false">
      <c r="B31" s="24"/>
      <c r="C31" s="24"/>
      <c r="D31" s="38"/>
      <c r="E31" s="38"/>
      <c r="F31" s="38"/>
      <c r="G31" s="38"/>
      <c r="H31" s="24"/>
      <c r="I31" s="24"/>
      <c r="J31" s="24"/>
    </row>
    <row r="32" customFormat="false" ht="25.5" hidden="false" customHeight="true" outlineLevel="0" collapsed="false">
      <c r="B32" s="24"/>
      <c r="C32" s="24"/>
      <c r="D32" s="38"/>
      <c r="E32" s="38"/>
      <c r="F32" s="38"/>
      <c r="G32" s="38"/>
      <c r="H32" s="24"/>
      <c r="I32" s="24"/>
      <c r="J32" s="24"/>
    </row>
    <row r="33" customFormat="false" ht="25.5" hidden="false" customHeight="true" outlineLevel="0" collapsed="false">
      <c r="B33" s="24"/>
      <c r="C33" s="24"/>
      <c r="D33" s="38"/>
      <c r="E33" s="38"/>
      <c r="F33" s="38"/>
      <c r="G33" s="38"/>
      <c r="H33" s="24"/>
      <c r="I33" s="24"/>
      <c r="J33" s="24"/>
    </row>
    <row r="34" customFormat="false" ht="25.5" hidden="false" customHeight="true" outlineLevel="0" collapsed="false">
      <c r="B34" s="24"/>
      <c r="C34" s="24"/>
      <c r="D34" s="38"/>
      <c r="E34" s="38"/>
      <c r="F34" s="38"/>
      <c r="G34" s="38"/>
      <c r="H34" s="24"/>
      <c r="I34" s="24"/>
      <c r="J34" s="24"/>
    </row>
    <row r="35" customFormat="false" ht="25.5" hidden="false" customHeight="true" outlineLevel="0" collapsed="false">
      <c r="B35" s="24"/>
      <c r="C35" s="24"/>
      <c r="D35" s="38"/>
      <c r="E35" s="38"/>
      <c r="F35" s="38"/>
      <c r="G35" s="38"/>
      <c r="H35" s="24"/>
      <c r="I35" s="24"/>
      <c r="J35" s="24"/>
    </row>
    <row r="36" customFormat="false" ht="25.5" hidden="false" customHeight="true" outlineLevel="0" collapsed="false">
      <c r="B36" s="24"/>
      <c r="C36" s="24"/>
      <c r="D36" s="38"/>
      <c r="E36" s="38"/>
      <c r="F36" s="38"/>
      <c r="G36" s="38"/>
      <c r="H36" s="24"/>
      <c r="I36" s="24"/>
      <c r="J36" s="24"/>
    </row>
    <row r="37" customFormat="false" ht="25.5" hidden="false" customHeight="true" outlineLevel="0" collapsed="false">
      <c r="B37" s="24"/>
      <c r="C37" s="24"/>
      <c r="D37" s="38"/>
      <c r="E37" s="38"/>
      <c r="F37" s="38"/>
      <c r="G37" s="38"/>
      <c r="H37" s="24"/>
      <c r="I37" s="24"/>
      <c r="J37" s="24"/>
    </row>
    <row r="38" customFormat="false" ht="25.5" hidden="false" customHeight="true" outlineLevel="0" collapsed="false">
      <c r="B38" s="24"/>
      <c r="C38" s="24"/>
      <c r="D38" s="38"/>
      <c r="E38" s="38"/>
      <c r="F38" s="38"/>
      <c r="G38" s="38"/>
      <c r="H38" s="24"/>
      <c r="I38" s="24"/>
      <c r="J38" s="24"/>
    </row>
    <row r="39" customFormat="false" ht="25.5" hidden="false" customHeight="true" outlineLevel="0" collapsed="false">
      <c r="B39" s="24"/>
      <c r="C39" s="24"/>
      <c r="D39" s="38"/>
      <c r="E39" s="38"/>
      <c r="F39" s="38"/>
      <c r="G39" s="38"/>
      <c r="H39" s="24"/>
      <c r="I39" s="24"/>
      <c r="J39" s="24"/>
    </row>
    <row r="41" customFormat="false" ht="25.5" hidden="false" customHeight="true" outlineLevel="0" collapsed="false">
      <c r="B41" s="6" t="s">
        <v>141</v>
      </c>
      <c r="C41" s="6"/>
      <c r="D41" s="6"/>
      <c r="E41" s="7" t="s">
        <v>142</v>
      </c>
      <c r="F41" s="39" t="n">
        <f aca="false">COUNTA(F10:F39)</f>
        <v>0</v>
      </c>
      <c r="G41" s="7" t="s">
        <v>177</v>
      </c>
      <c r="H41" s="39" t="n">
        <f aca="false">COUNTIF(J10:J39,"Terminée")</f>
        <v>0</v>
      </c>
      <c r="I41" s="7" t="s">
        <v>178</v>
      </c>
      <c r="J41" s="40" t="n">
        <f aca="false">COUNTIF(J10:J39,"En retard")</f>
        <v>0</v>
      </c>
    </row>
  </sheetData>
  <mergeCells count="3">
    <mergeCell ref="B2:J2"/>
    <mergeCell ref="B3:J3"/>
    <mergeCell ref="B41:D41"/>
  </mergeCells>
  <conditionalFormatting sqref="J10:J39">
    <cfRule type="expression" priority="2" aboveAverage="0" equalAverage="0" bottom="0" percent="0" rank="0" text="" dxfId="0">
      <formula>J10="Terminée"</formula>
    </cfRule>
    <cfRule type="expression" priority="3" aboveAverage="0" equalAverage="0" bottom="0" percent="0" rank="0" text="" dxfId="4">
      <formula>J10="En cours"</formula>
    </cfRule>
    <cfRule type="expression" priority="4" aboveAverage="0" equalAverage="0" bottom="0" percent="0" rank="0" text="" dxfId="1">
      <formula>J10="À démarrer"</formula>
    </cfRule>
    <cfRule type="expression" priority="5" aboveAverage="0" equalAverage="0" bottom="0" percent="0" rank="0" text="" dxfId="2">
      <formula>J10="En retard"</formula>
    </cfRule>
    <cfRule type="expression" priority="6" aboveAverage="0" equalAverage="0" bottom="0" percent="0" rank="0" text="" dxfId="3">
      <formula>J10="Abandonnée"</formula>
    </cfRule>
  </conditionalFormatting>
  <dataValidations count="3">
    <dataValidation allowBlank="true" errorStyle="stop" operator="between" showDropDown="false" showErrorMessage="false" showInputMessage="false" sqref="D10:D39" type="list">
      <formula1>"Satisf. Bénéf.,Satisf. Formateur,Satisf. Entreprise,Réclamation,Veille,Audit interne,Audit externe,Conseil perf.,Insertion CFA,Suggestion,Autre"</formula1>
      <formula2>0</formula2>
    </dataValidation>
    <dataValidation allowBlank="true" errorStyle="stop" operator="between" showDropDown="false" showErrorMessage="false" showInputMessage="false" sqref="I10:I39" type="list">
      <formula1>"Haute,Moyenne,Basse"</formula1>
      <formula2>0</formula2>
    </dataValidation>
    <dataValidation allowBlank="true" errorStyle="stop" operator="between" showDropDown="false" showErrorMessage="false" showInputMessage="false" sqref="J10:J39" type="list">
      <formula1>"Terminée,En cours,À démarrer,En retard,Abandonnée"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3"/>
  </cols>
  <sheetData>
    <row r="1" customFormat="false" ht="15" hidden="false" customHeight="false" outlineLevel="0" collapsed="false">
      <c r="B1" s="13" t="s">
        <v>22</v>
      </c>
    </row>
    <row r="2" customFormat="false" ht="27.75" hidden="false" customHeight="true" outlineLevel="0" collapsed="false">
      <c r="B2" s="19" t="s">
        <v>179</v>
      </c>
      <c r="C2" s="19"/>
      <c r="D2" s="19"/>
      <c r="E2" s="19"/>
      <c r="F2" s="19"/>
      <c r="G2" s="19"/>
    </row>
    <row r="3" customFormat="false" ht="19.5" hidden="false" customHeight="true" outlineLevel="0" collapsed="false">
      <c r="B3" s="15" t="s">
        <v>180</v>
      </c>
      <c r="C3" s="15"/>
      <c r="D3" s="15"/>
      <c r="E3" s="15"/>
      <c r="F3" s="15"/>
      <c r="G3" s="15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30" hidden="false" customHeight="true" outlineLevel="0" collapsed="false">
      <c r="B6" s="20" t="s">
        <v>69</v>
      </c>
      <c r="C6" s="20" t="s">
        <v>70</v>
      </c>
      <c r="D6" s="20" t="s">
        <v>28</v>
      </c>
      <c r="E6" s="20" t="s">
        <v>181</v>
      </c>
      <c r="F6" s="20" t="s">
        <v>182</v>
      </c>
      <c r="G6" s="20" t="s">
        <v>183</v>
      </c>
    </row>
    <row r="7" customFormat="false" ht="33.75" hidden="false" customHeight="true" outlineLevel="0" collapsed="false">
      <c r="B7" s="36" t="s">
        <v>184</v>
      </c>
      <c r="C7" s="36" t="s">
        <v>185</v>
      </c>
      <c r="D7" s="37" t="s">
        <v>186</v>
      </c>
      <c r="E7" s="37" t="s">
        <v>187</v>
      </c>
      <c r="F7" s="37" t="s">
        <v>188</v>
      </c>
      <c r="G7" s="37" t="s">
        <v>189</v>
      </c>
    </row>
    <row r="8" customFormat="false" ht="33.75" hidden="false" customHeight="true" outlineLevel="0" collapsed="false">
      <c r="B8" s="36" t="s">
        <v>190</v>
      </c>
      <c r="C8" s="36" t="s">
        <v>191</v>
      </c>
      <c r="D8" s="37" t="s">
        <v>192</v>
      </c>
      <c r="E8" s="37" t="s">
        <v>193</v>
      </c>
      <c r="F8" s="37" t="s">
        <v>194</v>
      </c>
      <c r="G8" s="37" t="s">
        <v>195</v>
      </c>
    </row>
    <row r="9" customFormat="false" ht="27.75" hidden="false" customHeight="true" outlineLevel="0" collapsed="false">
      <c r="B9" s="24"/>
      <c r="C9" s="24"/>
      <c r="D9" s="38"/>
      <c r="E9" s="38"/>
      <c r="F9" s="38"/>
      <c r="G9" s="38"/>
    </row>
    <row r="10" customFormat="false" ht="27.75" hidden="false" customHeight="true" outlineLevel="0" collapsed="false">
      <c r="B10" s="24"/>
      <c r="C10" s="24"/>
      <c r="D10" s="38"/>
      <c r="E10" s="38"/>
      <c r="F10" s="38"/>
      <c r="G10" s="38"/>
    </row>
    <row r="11" customFormat="false" ht="27.75" hidden="false" customHeight="true" outlineLevel="0" collapsed="false">
      <c r="B11" s="24"/>
      <c r="C11" s="24"/>
      <c r="D11" s="38"/>
      <c r="E11" s="38"/>
      <c r="F11" s="38"/>
      <c r="G11" s="38"/>
    </row>
    <row r="12" customFormat="false" ht="27.75" hidden="false" customHeight="true" outlineLevel="0" collapsed="false">
      <c r="B12" s="24"/>
      <c r="C12" s="24"/>
      <c r="D12" s="38"/>
      <c r="E12" s="38"/>
      <c r="F12" s="38"/>
      <c r="G12" s="38"/>
    </row>
    <row r="13" customFormat="false" ht="27.75" hidden="false" customHeight="true" outlineLevel="0" collapsed="false">
      <c r="B13" s="24"/>
      <c r="C13" s="24"/>
      <c r="D13" s="38"/>
      <c r="E13" s="38"/>
      <c r="F13" s="38"/>
      <c r="G13" s="38"/>
    </row>
    <row r="14" customFormat="false" ht="27.75" hidden="false" customHeight="true" outlineLevel="0" collapsed="false">
      <c r="B14" s="24"/>
      <c r="C14" s="24"/>
      <c r="D14" s="38"/>
      <c r="E14" s="38"/>
      <c r="F14" s="38"/>
      <c r="G14" s="38"/>
    </row>
    <row r="15" customFormat="false" ht="27.75" hidden="false" customHeight="true" outlineLevel="0" collapsed="false">
      <c r="B15" s="24"/>
      <c r="C15" s="24"/>
      <c r="D15" s="38"/>
      <c r="E15" s="38"/>
      <c r="F15" s="38"/>
      <c r="G15" s="38"/>
    </row>
    <row r="16" customFormat="false" ht="27.75" hidden="false" customHeight="true" outlineLevel="0" collapsed="false">
      <c r="B16" s="24"/>
      <c r="C16" s="24"/>
      <c r="D16" s="38"/>
      <c r="E16" s="38"/>
      <c r="F16" s="38"/>
      <c r="G16" s="38"/>
    </row>
    <row r="17" customFormat="false" ht="27.75" hidden="false" customHeight="true" outlineLevel="0" collapsed="false">
      <c r="B17" s="24"/>
      <c r="C17" s="24"/>
      <c r="D17" s="38"/>
      <c r="E17" s="38"/>
      <c r="F17" s="38"/>
      <c r="G17" s="38"/>
    </row>
    <row r="18" customFormat="false" ht="27.75" hidden="false" customHeight="true" outlineLevel="0" collapsed="false">
      <c r="B18" s="24"/>
      <c r="C18" s="24"/>
      <c r="D18" s="38"/>
      <c r="E18" s="38"/>
      <c r="F18" s="38"/>
      <c r="G18" s="38"/>
    </row>
    <row r="19" customFormat="false" ht="27.75" hidden="false" customHeight="true" outlineLevel="0" collapsed="false">
      <c r="B19" s="24"/>
      <c r="C19" s="24"/>
      <c r="D19" s="38"/>
      <c r="E19" s="38"/>
      <c r="F19" s="38"/>
      <c r="G19" s="38"/>
    </row>
    <row r="20" customFormat="false" ht="27.75" hidden="false" customHeight="true" outlineLevel="0" collapsed="false">
      <c r="B20" s="24"/>
      <c r="C20" s="24"/>
      <c r="D20" s="38"/>
      <c r="E20" s="38"/>
      <c r="F20" s="38"/>
      <c r="G20" s="38"/>
    </row>
  </sheetData>
  <mergeCells count="2">
    <mergeCell ref="B2:G2"/>
    <mergeCell ref="B3:G3"/>
  </mergeCells>
  <dataValidations count="1">
    <dataValidation allowBlank="true" errorStyle="stop" operator="between" showDropDown="false" showErrorMessage="false" showInputMessage="false" sqref="D9:D20" type="list">
      <formula1>"Revue de direction,Réunion qualité,Conseil perfectionnement,Revue post-audit"</formula1>
      <formula2>0</formula2>
    </dataValidation>
  </dataValidations>
  <hyperlinks>
    <hyperlink ref="B1" location="'🏠 Accueil'!A1" display="← Retour à l'accuei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&amp;K888780Cockpit Critère 7 — Amélioration continue · &amp;A · 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2026-05-16T18:04:03Z</dcterms:created>
  <dc:creator>openpyxl</dc:creator>
  <dc:description/>
  <dc:language>en-US</dc:language>
  <cp:lastModifiedBy/>
  <dcterms:modified xsi:type="dcterms:W3CDTF">2026-05-16T18:04:03Z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