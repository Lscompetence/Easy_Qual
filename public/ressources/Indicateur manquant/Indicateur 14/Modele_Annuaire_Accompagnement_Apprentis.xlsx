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🗂 Mode d'emploi" sheetId="1" state="visible" r:id="rId3"/>
    <sheet name="💼 Annuaire des aides" sheetId="2" state="visible" r:id="rId4"/>
    <sheet name="📋 Accompagnem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<sst xmlns="http://schemas.openxmlformats.org/spreadsheetml/2006/main" count="112" uniqueCount="97">
  <si>
    <t xml:space="preserve">ACCOMPAGNEMENT SOCIAL APPRENTIS</t>
  </si>
  <si>
    <t xml:space="preserve">Modèle M32b — Annuaire des aides + registre des accompagnements — Ind. 14</t>
  </si>
  <si>
    <t xml:space="preserve">À QUOI SERT CE DOCUMENT</t>
  </si>
  <si>
    <t xml:space="preserve">Outil opérationnel d'accompagnement social et professionnel des apprentis. Centralise (1) l'annuaire des aides mobilisables (national + local), (2) le registre des accompagnements concrets effectivement réalisés. Pièce de preuve principale de l'Ind. 14 — sans cas concrets tracés, l'audit considère le dispositif comme inopérant.</t>
  </si>
  <si>
    <t xml:space="preserve">STRUCTURE DU CLASSEUR</t>
  </si>
  <si>
    <t xml:space="preserve">💼 Annuaire des aides</t>
  </si>
  <si>
    <t xml:space="preserve">Liste des dispositifs mobilisables (national + local) — à actualiser annuellement.</t>
  </si>
  <si>
    <t xml:space="preserve">📋 Accompagnements</t>
  </si>
  <si>
    <t xml:space="preserve">Registre confidentiel des situations accompagnées — cas concrets datés.</t>
  </si>
  <si>
    <t xml:space="preserve">💡 Ind. 14</t>
  </si>
  <si>
    <t xml:space="preserve">Pièges (PDF officiel) : (1) aucun accompagnement social proposé, (2) partenariats listés mais non utilisés, (3) référent social non identifié, (4) pas de trace d'accompagnements concrets, (5) aides méconnues des équipes. Tenir les cas concrets À JOUR.</t>
  </si>
  <si>
    <t xml:space="preserve">💼 ANNUAIRE DES AIDES APPRENTIS</t>
  </si>
  <si>
    <t xml:space="preserve">À actualiser annuellement — ajouter vos partenaires locaux réels</t>
  </si>
  <si>
    <t xml:space="preserve">N°</t>
  </si>
  <si>
    <t xml:space="preserve">Thématique</t>
  </si>
  <si>
    <t xml:space="preserve">Aide / Dispositif</t>
  </si>
  <si>
    <t xml:space="preserve">Organisme</t>
  </si>
  <si>
    <t xml:space="preserve">Contact / Site</t>
  </si>
  <si>
    <t xml:space="preserve">Conditions / Montant</t>
  </si>
  <si>
    <t xml:space="preserve">01</t>
  </si>
  <si>
    <t xml:space="preserve">Logement</t>
  </si>
  <si>
    <t xml:space="preserve">Mobili-Jeune</t>
  </si>
  <si>
    <t xml:space="preserve">Action Logement</t>
  </si>
  <si>
    <t xml:space="preserve">actionlogement.fr</t>
  </si>
  <si>
    <t xml:space="preserve">Jusqu'à 100 €/mois sur 1 an</t>
  </si>
  <si>
    <t xml:space="preserve">02</t>
  </si>
  <si>
    <t xml:space="preserve">Visale (garantie)</t>
  </si>
  <si>
    <t xml:space="preserve">visale.fr</t>
  </si>
  <si>
    <t xml:space="preserve">Garantie loyer + caution</t>
  </si>
  <si>
    <t xml:space="preserve">03</t>
  </si>
  <si>
    <t xml:space="preserve">APL / ALS</t>
  </si>
  <si>
    <t xml:space="preserve">CAF</t>
  </si>
  <si>
    <t xml:space="preserve">caf.fr</t>
  </si>
  <si>
    <t xml:space="preserve">Selon ressources</t>
  </si>
  <si>
    <t xml:space="preserve">04</t>
  </si>
  <si>
    <t xml:space="preserve">Transport/mobilité</t>
  </si>
  <si>
    <t xml:space="preserve">Aide au permis de conduire</t>
  </si>
  <si>
    <t xml:space="preserve">État (apprentis)</t>
  </si>
  <si>
    <t xml:space="preserve">Demande via CFA</t>
  </si>
  <si>
    <t xml:space="preserve">500 € apprentis majeurs</t>
  </si>
  <si>
    <t xml:space="preserve">05</t>
  </si>
  <si>
    <t xml:space="preserve">Aide mobilité régionale</t>
  </si>
  <si>
    <t xml:space="preserve">[ Région à compléter ]</t>
  </si>
  <si>
    <t xml:space="preserve">[ url régionale ]</t>
  </si>
  <si>
    <t xml:space="preserve">Selon dispositif régional</t>
  </si>
  <si>
    <t xml:space="preserve">06</t>
  </si>
  <si>
    <t xml:space="preserve">Restauration</t>
  </si>
  <si>
    <t xml:space="preserve">Aide à la restauration</t>
  </si>
  <si>
    <t xml:space="preserve">État + Région</t>
  </si>
  <si>
    <t xml:space="preserve">Via CFA</t>
  </si>
  <si>
    <t xml:space="preserve">Forfait selon territoire</t>
  </si>
  <si>
    <t xml:space="preserve">07</t>
  </si>
  <si>
    <t xml:space="preserve">Santé</t>
  </si>
  <si>
    <t xml:space="preserve">Complémentaire santé solidaire</t>
  </si>
  <si>
    <t xml:space="preserve">Sécurité sociale</t>
  </si>
  <si>
    <t xml:space="preserve">ameli.fr</t>
  </si>
  <si>
    <t xml:space="preserve">08</t>
  </si>
  <si>
    <t xml:space="preserve">Financier</t>
  </si>
  <si>
    <t xml:space="preserve">Aide premier équipement (CFA)</t>
  </si>
  <si>
    <t xml:space="preserve">État / Région</t>
  </si>
  <si>
    <t xml:space="preserve">Forfait au démarrage</t>
  </si>
  <si>
    <t xml:space="preserve">09</t>
  </si>
  <si>
    <t xml:space="preserve">Mobilité internationale</t>
  </si>
  <si>
    <t xml:space="preserve">Erasmus+ Pro</t>
  </si>
  <si>
    <t xml:space="preserve">Agence Erasmus</t>
  </si>
  <si>
    <t xml:space="preserve">agence-erasmus.fr</t>
  </si>
  <si>
    <t xml:space="preserve">Bourses séjours européens</t>
  </si>
  <si>
    <t xml:space="preserve">10</t>
  </si>
  <si>
    <t xml:space="preserve">Difficultés</t>
  </si>
  <si>
    <t xml:space="preserve">Mission Locale</t>
  </si>
  <si>
    <t xml:space="preserve">Mission Locale [ territoire ]</t>
  </si>
  <si>
    <t xml:space="preserve">[ contact local ]</t>
  </si>
  <si>
    <t xml:space="preserve">Accompagnement global</t>
  </si>
  <si>
    <t xml:space="preserve">📋 REGISTRE DES ACCOMPAGNEMENTS</t>
  </si>
  <si>
    <t xml:space="preserve">⚠ Confidentiel — Mentionner les démarches, pas les détails médicaux/personnels intimes</t>
  </si>
  <si>
    <t xml:space="preserve">Date détection</t>
  </si>
  <si>
    <t xml:space="preserve">Apprenti</t>
  </si>
  <si>
    <t xml:space="preserve">Besoin signalé</t>
  </si>
  <si>
    <t xml:space="preserve">Action menée / Partenaire mobilisé</t>
  </si>
  <si>
    <t xml:space="preserve">Statut</t>
  </si>
  <si>
    <t xml:space="preserve">15/10/26</t>
  </si>
  <si>
    <t xml:space="preserve">DUPONT Marie</t>
  </si>
  <si>
    <t xml:space="preserve">Difficulté pour trouver un studio proche du CFA</t>
  </si>
  <si>
    <t xml:space="preserve">Orientation Mobili-Jeune + Visale — dossier déposé</t>
  </si>
  <si>
    <t xml:space="preserve">✓ Résolu</t>
  </si>
  <si>
    <t xml:space="preserve">03/11/26</t>
  </si>
  <si>
    <t xml:space="preserve">MARTIN Karim</t>
  </si>
  <si>
    <t xml:space="preserve">Pas de permis, trajet trop long en transports</t>
  </si>
  <si>
    <t xml:space="preserve">Dossier aide au permis + lien auto-école partenaire</t>
  </si>
  <si>
    <t xml:space="preserve">⏳ En cours</t>
  </si>
  <si>
    <t xml:space="preserve">20/11/26</t>
  </si>
  <si>
    <t xml:space="preserve">BERNARD Sophie</t>
  </si>
  <si>
    <t xml:space="preserve">Difficultés pour avancer frais de matériel professionnel</t>
  </si>
  <si>
    <t xml:space="preserve">Mobilisation aide CFA premier équipement + bourse régionale</t>
  </si>
  <si>
    <t xml:space="preserve">BILAN</t>
  </si>
  <si>
    <t xml:space="preserve">Total :</t>
  </si>
  <si>
    <t xml:space="preserve">Résolus 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</si>
</sst>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9"/>
      <color rgb="FF0F2A47"/>
      <name val="Arial"/>
      <family val="0"/>
      <charset val="1"/>
    </font>
    <font>
      <i val="true"/>
      <sz val="11"/>
      <color rgb="FF5F5E5A"/>
      <name val="Arial"/>
      <family val="0"/>
      <charset val="1"/>
    </font>
    <font>
      <b val="true"/>
      <sz val="10"/>
      <color rgb="FFD85A30"/>
      <name val="Arial"/>
      <family val="0"/>
      <charset val="1"/>
    </font>
    <font>
      <sz val="10"/>
      <color rgb="FF2C2C2A"/>
      <name val="Arial"/>
      <family val="0"/>
      <charset val="1"/>
    </font>
    <font>
      <b val="true"/>
      <sz val="10"/>
      <color rgb="FF0F2A47"/>
      <name val="Arial"/>
      <family val="0"/>
      <charset val="1"/>
    </font>
    <font>
      <b val="true"/>
      <sz val="9"/>
      <color rgb="FFB98D27"/>
      <name val="Arial"/>
      <family val="0"/>
      <charset val="1"/>
    </font>
    <font>
      <sz val="9"/>
      <color rgb="FF2C2C2A"/>
      <name val="Arial"/>
      <family val="0"/>
      <charset val="1"/>
    </font>
    <font>
      <b val="true"/>
      <sz val="18"/>
      <color rgb="FF0F2A47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780"/>
      <name val="Arial"/>
      <family val="0"/>
      <charset val="1"/>
    </font>
    <font>
      <b val="true"/>
      <sz val="10"/>
      <color rgb="FF2C2C2A"/>
      <name val="Arial"/>
      <family val="0"/>
      <charset val="1"/>
    </font>
    <font>
      <b val="true"/>
      <sz val="11"/>
      <color rgb="FF0F2A4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BFAF6"/>
        <bgColor rgb="FFFFFFFF"/>
      </patternFill>
    </fill>
    <fill>
      <patternFill patternType="solid">
        <fgColor rgb="FFFAEEDA"/>
        <bgColor rgb="FFF1EFE8"/>
      </patternFill>
    </fill>
    <fill>
      <patternFill patternType="solid">
        <fgColor rgb="FF0F2A47"/>
        <bgColor rgb="FF2C2C2A"/>
      </patternFill>
    </fill>
    <fill>
      <patternFill patternType="solid">
        <fgColor rgb="FFF1EFE8"/>
        <bgColor rgb="FFFAEEDA"/>
      </patternFill>
    </fill>
    <fill>
      <patternFill patternType="solid">
        <fgColor rgb="FFE6F0FA"/>
        <bgColor rgb="FFF1EFE8"/>
      </patternFill>
    </fill>
    <fill>
      <patternFill patternType="solid">
        <fgColor rgb="FFFFFFFF"/>
        <bgColor rgb="FFFBFAF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D85A30"/>
      </top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 style="thick">
        <color rgb="FFB98D2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 diagonalUp="false" diagonalDown="false">
      <left/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8EBC2"/>
        </patternFill>
      </fill>
    </dxf>
    <dxf>
      <fill>
        <patternFill>
          <bgColor rgb="FFF7DCB8"/>
        </patternFill>
      </fill>
    </dxf>
    <dxf>
      <fill>
        <patternFill>
          <bgColor rgb="FFE6F0FA"/>
        </patternFill>
      </fill>
    </dxf>
    <dxf>
      <fill>
        <patternFill>
          <bgColor rgb="FFF5C7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8D27"/>
      <rgbColor rgb="FF800080"/>
      <rgbColor rgb="FF008080"/>
      <rgbColor rgb="FFD3D1C7"/>
      <rgbColor rgb="FF888780"/>
      <rgbColor rgb="FF9999FF"/>
      <rgbColor rgb="FF993366"/>
      <rgbColor rgb="FFFAEEDA"/>
      <rgbColor rgb="FFE6F0FA"/>
      <rgbColor rgb="FF660066"/>
      <rgbColor rgb="FFFF8080"/>
      <rgbColor rgb="FF0066CC"/>
      <rgbColor rgb="FFFBFA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D8EBC2"/>
      <rgbColor rgb="FFF7DCB8"/>
      <rgbColor rgb="FF99CCFF"/>
      <rgbColor rgb="FFFF99CC"/>
      <rgbColor rgb="FFCC99FF"/>
      <rgbColor rgb="FFF5C7C0"/>
      <rgbColor rgb="FF3366FF"/>
      <rgbColor rgb="FF33CCCC"/>
      <rgbColor rgb="FF99CC00"/>
      <rgbColor rgb="FFFFCC00"/>
      <rgbColor rgb="FFFF9900"/>
      <rgbColor rgb="FFD85A30"/>
      <rgbColor rgb="FF5F5E5A"/>
      <rgbColor rgb="FF969696"/>
      <rgbColor rgb="FF0F2A47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31.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2" t="s">
        <v>1</v>
      </c>
      <c r="C3" s="2"/>
    </row>
    <row r="4" customFormat="false" ht="6" hidden="false" customHeight="true" outlineLevel="0" collapsed="false">
      <c r="B4" s="3"/>
      <c r="C4" s="3"/>
    </row>
    <row r="6" customFormat="false" ht="21.75" hidden="false" customHeight="true" outlineLevel="0" collapsed="false">
      <c r="B6" s="4" t="s">
        <v>2</v>
      </c>
      <c r="C6" s="4"/>
    </row>
    <row r="7" customFormat="false" ht="79.5" hidden="false" customHeight="true" outlineLevel="0" collapsed="false">
      <c r="C7" s="5" t="s">
        <v>3</v>
      </c>
    </row>
    <row r="9" customFormat="false" ht="21.75" hidden="false" customHeight="true" outlineLevel="0" collapsed="false">
      <c r="B9" s="4" t="s">
        <v>4</v>
      </c>
      <c r="C9" s="4"/>
    </row>
    <row r="10" customFormat="false" ht="33.75" hidden="false" customHeight="true" outlineLevel="0" collapsed="false">
      <c r="B10" s="6" t="s">
        <v>5</v>
      </c>
      <c r="C10" s="7" t="s">
        <v>6</v>
      </c>
    </row>
    <row r="11" customFormat="false" ht="33.75" hidden="false" customHeight="true" outlineLevel="0" collapsed="false">
      <c r="B11" s="6" t="s">
        <v>7</v>
      </c>
      <c r="C11" s="7" t="s">
        <v>8</v>
      </c>
    </row>
    <row r="13" customFormat="false" ht="60" hidden="false" customHeight="true" outlineLevel="0" collapsed="false">
      <c r="B13" s="8" t="s">
        <v>9</v>
      </c>
      <c r="C13" s="9" t="s">
        <v>10</v>
      </c>
    </row>
  </sheetData>
  <mergeCells count="4">
    <mergeCell ref="B2:C2"/>
    <mergeCell ref="B3:C3"/>
    <mergeCell ref="B6:C6"/>
    <mergeCell ref="B9:C9"/>
  </mergeCell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&amp;C&amp;9 &amp;K888780M32b — Accompagnement social apprentis  ·  &amp;A  · 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6"/>
    <col collapsed="false" customWidth="true" hidden="false" outlineLevel="0" max="5" min="4" style="0" width="24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"/>
  </cols>
  <sheetData>
    <row r="2" customFormat="false" ht="30" hidden="false" customHeight="true" outlineLevel="0" collapsed="false">
      <c r="B2" s="10" t="s">
        <v>11</v>
      </c>
      <c r="C2" s="10"/>
      <c r="D2" s="10"/>
      <c r="E2" s="10"/>
      <c r="F2" s="10"/>
      <c r="G2" s="10"/>
    </row>
    <row r="3" customFormat="false" ht="19.5" hidden="false" customHeight="true" outlineLevel="0" collapsed="false">
      <c r="B3" s="11" t="s">
        <v>12</v>
      </c>
      <c r="C3" s="11"/>
      <c r="D3" s="11"/>
      <c r="E3" s="11"/>
      <c r="F3" s="11"/>
      <c r="G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</row>
    <row r="6" customFormat="false" ht="31.5" hidden="false" customHeight="true" outlineLevel="0" collapsed="false">
      <c r="B6" s="12" t="s">
        <v>13</v>
      </c>
      <c r="C6" s="12" t="s">
        <v>14</v>
      </c>
      <c r="D6" s="12" t="s">
        <v>15</v>
      </c>
      <c r="E6" s="12" t="s">
        <v>16</v>
      </c>
      <c r="F6" s="12" t="s">
        <v>17</v>
      </c>
      <c r="G6" s="12" t="s">
        <v>18</v>
      </c>
    </row>
    <row r="7" customFormat="false" ht="25.5" hidden="false" customHeight="true" outlineLevel="0" collapsed="false">
      <c r="B7" s="13" t="s">
        <v>19</v>
      </c>
      <c r="C7" s="14" t="s">
        <v>20</v>
      </c>
      <c r="D7" s="14" t="s">
        <v>21</v>
      </c>
      <c r="E7" s="14" t="s">
        <v>22</v>
      </c>
      <c r="F7" s="14" t="s">
        <v>23</v>
      </c>
      <c r="G7" s="14" t="s">
        <v>24</v>
      </c>
    </row>
    <row r="8" customFormat="false" ht="25.5" hidden="false" customHeight="true" outlineLevel="0" collapsed="false">
      <c r="B8" s="13" t="s">
        <v>25</v>
      </c>
      <c r="C8" s="14" t="s">
        <v>20</v>
      </c>
      <c r="D8" s="14" t="s">
        <v>26</v>
      </c>
      <c r="E8" s="14" t="s">
        <v>22</v>
      </c>
      <c r="F8" s="14" t="s">
        <v>27</v>
      </c>
      <c r="G8" s="14" t="s">
        <v>28</v>
      </c>
    </row>
    <row r="9" customFormat="false" ht="25.5" hidden="false" customHeight="true" outlineLevel="0" collapsed="false">
      <c r="B9" s="13" t="s">
        <v>29</v>
      </c>
      <c r="C9" s="14" t="s">
        <v>20</v>
      </c>
      <c r="D9" s="14" t="s">
        <v>30</v>
      </c>
      <c r="E9" s="14" t="s">
        <v>31</v>
      </c>
      <c r="F9" s="14" t="s">
        <v>32</v>
      </c>
      <c r="G9" s="14" t="s">
        <v>33</v>
      </c>
    </row>
    <row r="10" customFormat="false" ht="25.5" hidden="false" customHeight="true" outlineLevel="0" collapsed="false">
      <c r="B10" s="13" t="s">
        <v>34</v>
      </c>
      <c r="C10" s="14" t="s">
        <v>35</v>
      </c>
      <c r="D10" s="14" t="s">
        <v>36</v>
      </c>
      <c r="E10" s="14" t="s">
        <v>37</v>
      </c>
      <c r="F10" s="14" t="s">
        <v>38</v>
      </c>
      <c r="G10" s="14" t="s">
        <v>39</v>
      </c>
    </row>
    <row r="11" customFormat="false" ht="25.5" hidden="false" customHeight="true" outlineLevel="0" collapsed="false">
      <c r="B11" s="13" t="s">
        <v>40</v>
      </c>
      <c r="C11" s="14" t="s">
        <v>35</v>
      </c>
      <c r="D11" s="14" t="s">
        <v>41</v>
      </c>
      <c r="E11" s="14" t="s">
        <v>42</v>
      </c>
      <c r="F11" s="14" t="s">
        <v>43</v>
      </c>
      <c r="G11" s="14" t="s">
        <v>44</v>
      </c>
    </row>
    <row r="12" customFormat="false" ht="25.5" hidden="false" customHeight="true" outlineLevel="0" collapsed="false">
      <c r="B12" s="13" t="s">
        <v>45</v>
      </c>
      <c r="C12" s="14" t="s">
        <v>46</v>
      </c>
      <c r="D12" s="14" t="s">
        <v>47</v>
      </c>
      <c r="E12" s="14" t="s">
        <v>48</v>
      </c>
      <c r="F12" s="14" t="s">
        <v>49</v>
      </c>
      <c r="G12" s="14" t="s">
        <v>50</v>
      </c>
    </row>
    <row r="13" customFormat="false" ht="25.5" hidden="false" customHeight="true" outlineLevel="0" collapsed="false">
      <c r="B13" s="13" t="s">
        <v>51</v>
      </c>
      <c r="C13" s="14" t="s">
        <v>52</v>
      </c>
      <c r="D13" s="14" t="s">
        <v>53</v>
      </c>
      <c r="E13" s="14" t="s">
        <v>54</v>
      </c>
      <c r="F13" s="14" t="s">
        <v>55</v>
      </c>
      <c r="G13" s="14" t="s">
        <v>33</v>
      </c>
    </row>
    <row r="14" customFormat="false" ht="25.5" hidden="false" customHeight="true" outlineLevel="0" collapsed="false">
      <c r="B14" s="13" t="s">
        <v>56</v>
      </c>
      <c r="C14" s="14" t="s">
        <v>57</v>
      </c>
      <c r="D14" s="14" t="s">
        <v>58</v>
      </c>
      <c r="E14" s="14" t="s">
        <v>59</v>
      </c>
      <c r="F14" s="14" t="s">
        <v>49</v>
      </c>
      <c r="G14" s="14" t="s">
        <v>60</v>
      </c>
    </row>
    <row r="15" customFormat="false" ht="25.5" hidden="false" customHeight="true" outlineLevel="0" collapsed="false">
      <c r="B15" s="13" t="s">
        <v>61</v>
      </c>
      <c r="C15" s="14" t="s">
        <v>62</v>
      </c>
      <c r="D15" s="14" t="s">
        <v>63</v>
      </c>
      <c r="E15" s="14" t="s">
        <v>64</v>
      </c>
      <c r="F15" s="14" t="s">
        <v>65</v>
      </c>
      <c r="G15" s="14" t="s">
        <v>66</v>
      </c>
    </row>
    <row r="16" customFormat="false" ht="25.5" hidden="false" customHeight="true" outlineLevel="0" collapsed="false">
      <c r="B16" s="13" t="s">
        <v>67</v>
      </c>
      <c r="C16" s="14" t="s">
        <v>68</v>
      </c>
      <c r="D16" s="14" t="s">
        <v>69</v>
      </c>
      <c r="E16" s="14" t="s">
        <v>70</v>
      </c>
      <c r="F16" s="14" t="s">
        <v>71</v>
      </c>
      <c r="G16" s="14" t="s">
        <v>72</v>
      </c>
    </row>
    <row r="17" customFormat="false" ht="24" hidden="false" customHeight="true" outlineLevel="0" collapsed="false">
      <c r="B17" s="15"/>
      <c r="C17" s="16"/>
      <c r="D17" s="16"/>
      <c r="E17" s="16"/>
      <c r="F17" s="16"/>
      <c r="G17" s="16"/>
    </row>
    <row r="18" customFormat="false" ht="24" hidden="false" customHeight="true" outlineLevel="0" collapsed="false">
      <c r="B18" s="15"/>
      <c r="C18" s="16"/>
      <c r="D18" s="16"/>
      <c r="E18" s="16"/>
      <c r="F18" s="16"/>
      <c r="G18" s="16"/>
    </row>
    <row r="19" customFormat="false" ht="24" hidden="false" customHeight="true" outlineLevel="0" collapsed="false">
      <c r="B19" s="15"/>
      <c r="C19" s="16"/>
      <c r="D19" s="16"/>
      <c r="E19" s="16"/>
      <c r="F19" s="16"/>
      <c r="G19" s="16"/>
    </row>
    <row r="20" customFormat="false" ht="24" hidden="false" customHeight="true" outlineLevel="0" collapsed="false">
      <c r="B20" s="15"/>
      <c r="C20" s="16"/>
      <c r="D20" s="16"/>
      <c r="E20" s="16"/>
      <c r="F20" s="16"/>
      <c r="G20" s="16"/>
    </row>
    <row r="21" customFormat="false" ht="24" hidden="false" customHeight="true" outlineLevel="0" collapsed="false">
      <c r="B21" s="15"/>
      <c r="C21" s="16"/>
      <c r="D21" s="16"/>
      <c r="E21" s="16"/>
      <c r="F21" s="16"/>
      <c r="G21" s="16"/>
    </row>
    <row r="22" customFormat="false" ht="24" hidden="false" customHeight="true" outlineLevel="0" collapsed="false">
      <c r="B22" s="15"/>
      <c r="C22" s="16"/>
      <c r="D22" s="16"/>
      <c r="E22" s="16"/>
      <c r="F22" s="16"/>
      <c r="G22" s="16"/>
    </row>
    <row r="23" customFormat="false" ht="24" hidden="false" customHeight="true" outlineLevel="0" collapsed="false">
      <c r="B23" s="15"/>
      <c r="C23" s="16"/>
      <c r="D23" s="16"/>
      <c r="E23" s="16"/>
      <c r="F23" s="16"/>
      <c r="G23" s="16"/>
    </row>
    <row r="24" customFormat="false" ht="24" hidden="false" customHeight="true" outlineLevel="0" collapsed="false">
      <c r="B24" s="15"/>
      <c r="C24" s="16"/>
      <c r="D24" s="16"/>
      <c r="E24" s="16"/>
      <c r="F24" s="16"/>
      <c r="G24" s="16"/>
    </row>
    <row r="25" customFormat="false" ht="24" hidden="false" customHeight="true" outlineLevel="0" collapsed="false">
      <c r="B25" s="15"/>
      <c r="C25" s="16"/>
      <c r="D25" s="16"/>
      <c r="E25" s="16"/>
      <c r="F25" s="16"/>
      <c r="G25" s="16"/>
    </row>
    <row r="26" customFormat="false" ht="24" hidden="false" customHeight="true" outlineLevel="0" collapsed="false">
      <c r="B26" s="15"/>
      <c r="C26" s="16"/>
      <c r="D26" s="16"/>
      <c r="E26" s="16"/>
      <c r="F26" s="16"/>
      <c r="G26" s="16"/>
    </row>
    <row r="27" customFormat="false" ht="24" hidden="false" customHeight="true" outlineLevel="0" collapsed="false">
      <c r="B27" s="15"/>
      <c r="C27" s="16"/>
      <c r="D27" s="16"/>
      <c r="E27" s="16"/>
      <c r="F27" s="16"/>
      <c r="G27" s="16"/>
    </row>
    <row r="28" customFormat="false" ht="24" hidden="false" customHeight="true" outlineLevel="0" collapsed="false">
      <c r="B28" s="15"/>
      <c r="C28" s="16"/>
      <c r="D28" s="16"/>
      <c r="E28" s="16"/>
      <c r="F28" s="16"/>
      <c r="G28" s="16"/>
    </row>
    <row r="29" customFormat="false" ht="24" hidden="false" customHeight="true" outlineLevel="0" collapsed="false">
      <c r="B29" s="15"/>
      <c r="C29" s="16"/>
      <c r="D29" s="16"/>
      <c r="E29" s="16"/>
      <c r="F29" s="16"/>
      <c r="G29" s="16"/>
    </row>
    <row r="30" customFormat="false" ht="24" hidden="false" customHeight="true" outlineLevel="0" collapsed="false">
      <c r="B30" s="15"/>
      <c r="C30" s="16"/>
      <c r="D30" s="16"/>
      <c r="E30" s="16"/>
      <c r="F30" s="16"/>
      <c r="G30" s="16"/>
    </row>
    <row r="31" customFormat="false" ht="24" hidden="false" customHeight="true" outlineLevel="0" collapsed="false">
      <c r="B31" s="15"/>
      <c r="C31" s="16"/>
      <c r="D31" s="16"/>
      <c r="E31" s="16"/>
      <c r="F31" s="16"/>
      <c r="G31" s="16"/>
    </row>
  </sheetData>
  <mergeCells count="2">
    <mergeCell ref="B2:G2"/>
    <mergeCell ref="B3:G3"/>
  </mergeCells>
  <dataValidations count="1">
    <dataValidation allowBlank="true" errorStyle="stop" operator="between" showDropDown="false" showErrorMessage="false" showInputMessage="false" sqref="C17:C31" type="list">
      <formula1>"Logement,Transport/mobilité,Restauration,Santé,Financier,Mobilité internationale,Difficultés,Autre"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&amp;K888780M32b — Accompagnement social apprentis  ·  &amp;A  · 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22"/>
    <col collapsed="false" customWidth="true" hidden="false" outlineLevel="0" max="8" min="8" style="0" width="14"/>
    <col collapsed="false" customWidth="true" hidden="false" outlineLevel="0" max="9" min="9" style="0" width="2"/>
  </cols>
  <sheetData>
    <row r="2" customFormat="false" ht="30" hidden="false" customHeight="true" outlineLevel="0" collapsed="false">
      <c r="B2" s="10" t="s">
        <v>73</v>
      </c>
      <c r="C2" s="10"/>
      <c r="D2" s="10"/>
      <c r="E2" s="10"/>
      <c r="F2" s="10"/>
      <c r="G2" s="10"/>
      <c r="H2" s="10"/>
    </row>
    <row r="3" customFormat="false" ht="19.5" hidden="false" customHeight="true" outlineLevel="0" collapsed="false">
      <c r="B3" s="11" t="s">
        <v>74</v>
      </c>
      <c r="C3" s="11"/>
      <c r="D3" s="11"/>
      <c r="E3" s="11"/>
      <c r="F3" s="11"/>
      <c r="G3" s="11"/>
      <c r="H3" s="11"/>
    </row>
    <row r="4" customFormat="false" ht="6" hidden="false" customHeight="true" outlineLevel="0" collapsed="false">
      <c r="B4" s="3"/>
      <c r="C4" s="3"/>
      <c r="D4" s="3"/>
      <c r="E4" s="3"/>
      <c r="F4" s="3"/>
      <c r="G4" s="3"/>
    </row>
    <row r="6" customFormat="false" ht="31.5" hidden="false" customHeight="true" outlineLevel="0" collapsed="false">
      <c r="B6" s="12" t="s">
        <v>13</v>
      </c>
      <c r="C6" s="12" t="s">
        <v>75</v>
      </c>
      <c r="D6" s="12" t="s">
        <v>76</v>
      </c>
      <c r="E6" s="12" t="s">
        <v>14</v>
      </c>
      <c r="F6" s="12" t="s">
        <v>77</v>
      </c>
      <c r="G6" s="12" t="s">
        <v>78</v>
      </c>
      <c r="H6" s="12" t="s">
        <v>79</v>
      </c>
    </row>
    <row r="7" customFormat="false" ht="36" hidden="false" customHeight="true" outlineLevel="0" collapsed="false">
      <c r="B7" s="13" t="s">
        <v>19</v>
      </c>
      <c r="C7" s="13" t="s">
        <v>80</v>
      </c>
      <c r="D7" s="14" t="s">
        <v>81</v>
      </c>
      <c r="E7" s="14" t="s">
        <v>20</v>
      </c>
      <c r="F7" s="14" t="s">
        <v>82</v>
      </c>
      <c r="G7" s="14" t="s">
        <v>83</v>
      </c>
      <c r="H7" s="14" t="s">
        <v>84</v>
      </c>
    </row>
    <row r="8" customFormat="false" ht="36" hidden="false" customHeight="true" outlineLevel="0" collapsed="false">
      <c r="B8" s="13" t="s">
        <v>25</v>
      </c>
      <c r="C8" s="13" t="s">
        <v>85</v>
      </c>
      <c r="D8" s="14" t="s">
        <v>86</v>
      </c>
      <c r="E8" s="14" t="s">
        <v>35</v>
      </c>
      <c r="F8" s="14" t="s">
        <v>87</v>
      </c>
      <c r="G8" s="14" t="s">
        <v>88</v>
      </c>
      <c r="H8" s="14" t="s">
        <v>89</v>
      </c>
    </row>
    <row r="9" customFormat="false" ht="36" hidden="false" customHeight="true" outlineLevel="0" collapsed="false">
      <c r="B9" s="13" t="s">
        <v>29</v>
      </c>
      <c r="C9" s="13" t="s">
        <v>90</v>
      </c>
      <c r="D9" s="14" t="s">
        <v>91</v>
      </c>
      <c r="E9" s="14" t="s">
        <v>57</v>
      </c>
      <c r="F9" s="14" t="s">
        <v>92</v>
      </c>
      <c r="G9" s="14" t="s">
        <v>93</v>
      </c>
      <c r="H9" s="14" t="s">
        <v>84</v>
      </c>
    </row>
    <row r="10" customFormat="false" ht="30" hidden="false" customHeight="true" outlineLevel="0" collapsed="false">
      <c r="B10" s="15"/>
      <c r="C10" s="15"/>
      <c r="D10" s="16"/>
      <c r="E10" s="16"/>
      <c r="F10" s="16"/>
      <c r="G10" s="16"/>
      <c r="H10" s="16"/>
    </row>
    <row r="11" customFormat="false" ht="30" hidden="false" customHeight="true" outlineLevel="0" collapsed="false">
      <c r="B11" s="15"/>
      <c r="C11" s="15"/>
      <c r="D11" s="16"/>
      <c r="E11" s="16"/>
      <c r="F11" s="16"/>
      <c r="G11" s="16"/>
      <c r="H11" s="16"/>
    </row>
    <row r="12" customFormat="false" ht="30" hidden="false" customHeight="true" outlineLevel="0" collapsed="false">
      <c r="B12" s="15"/>
      <c r="C12" s="15"/>
      <c r="D12" s="16"/>
      <c r="E12" s="16"/>
      <c r="F12" s="16"/>
      <c r="G12" s="16"/>
      <c r="H12" s="16"/>
    </row>
    <row r="13" customFormat="false" ht="30" hidden="false" customHeight="true" outlineLevel="0" collapsed="false">
      <c r="B13" s="15"/>
      <c r="C13" s="15"/>
      <c r="D13" s="16"/>
      <c r="E13" s="16"/>
      <c r="F13" s="16"/>
      <c r="G13" s="16"/>
      <c r="H13" s="16"/>
    </row>
    <row r="14" customFormat="false" ht="30" hidden="false" customHeight="true" outlineLevel="0" collapsed="false">
      <c r="B14" s="15"/>
      <c r="C14" s="15"/>
      <c r="D14" s="16"/>
      <c r="E14" s="16"/>
      <c r="F14" s="16"/>
      <c r="G14" s="16"/>
      <c r="H14" s="16"/>
    </row>
    <row r="15" customFormat="false" ht="30" hidden="false" customHeight="true" outlineLevel="0" collapsed="false">
      <c r="B15" s="15"/>
      <c r="C15" s="15"/>
      <c r="D15" s="16"/>
      <c r="E15" s="16"/>
      <c r="F15" s="16"/>
      <c r="G15" s="16"/>
      <c r="H15" s="16"/>
    </row>
    <row r="16" customFormat="false" ht="30" hidden="false" customHeight="true" outlineLevel="0" collapsed="false">
      <c r="B16" s="15"/>
      <c r="C16" s="15"/>
      <c r="D16" s="16"/>
      <c r="E16" s="16"/>
      <c r="F16" s="16"/>
      <c r="G16" s="16"/>
      <c r="H16" s="16"/>
    </row>
    <row r="17" customFormat="false" ht="30" hidden="false" customHeight="true" outlineLevel="0" collapsed="false">
      <c r="B17" s="15"/>
      <c r="C17" s="15"/>
      <c r="D17" s="16"/>
      <c r="E17" s="16"/>
      <c r="F17" s="16"/>
      <c r="G17" s="16"/>
      <c r="H17" s="16"/>
    </row>
    <row r="18" customFormat="false" ht="30" hidden="false" customHeight="true" outlineLevel="0" collapsed="false">
      <c r="B18" s="15"/>
      <c r="C18" s="15"/>
      <c r="D18" s="16"/>
      <c r="E18" s="16"/>
      <c r="F18" s="16"/>
      <c r="G18" s="16"/>
      <c r="H18" s="16"/>
    </row>
    <row r="19" customFormat="false" ht="30" hidden="false" customHeight="true" outlineLevel="0" collapsed="false">
      <c r="B19" s="15"/>
      <c r="C19" s="15"/>
      <c r="D19" s="16"/>
      <c r="E19" s="16"/>
      <c r="F19" s="16"/>
      <c r="G19" s="16"/>
      <c r="H19" s="16"/>
    </row>
    <row r="20" customFormat="false" ht="30" hidden="false" customHeight="true" outlineLevel="0" collapsed="false">
      <c r="B20" s="15"/>
      <c r="C20" s="15"/>
      <c r="D20" s="16"/>
      <c r="E20" s="16"/>
      <c r="F20" s="16"/>
      <c r="G20" s="16"/>
      <c r="H20" s="16"/>
    </row>
    <row r="21" customFormat="false" ht="30" hidden="false" customHeight="true" outlineLevel="0" collapsed="false">
      <c r="B21" s="15"/>
      <c r="C21" s="15"/>
      <c r="D21" s="16"/>
      <c r="E21" s="16"/>
      <c r="F21" s="16"/>
      <c r="G21" s="16"/>
      <c r="H21" s="16"/>
    </row>
    <row r="22" customFormat="false" ht="30" hidden="false" customHeight="true" outlineLevel="0" collapsed="false">
      <c r="B22" s="15"/>
      <c r="C22" s="15"/>
      <c r="D22" s="16"/>
      <c r="E22" s="16"/>
      <c r="F22" s="16"/>
      <c r="G22" s="16"/>
      <c r="H22" s="16"/>
    </row>
    <row r="23" customFormat="false" ht="30" hidden="false" customHeight="true" outlineLevel="0" collapsed="false">
      <c r="B23" s="15"/>
      <c r="C23" s="15"/>
      <c r="D23" s="16"/>
      <c r="E23" s="16"/>
      <c r="F23" s="16"/>
      <c r="G23" s="16"/>
      <c r="H23" s="16"/>
    </row>
    <row r="24" customFormat="false" ht="30" hidden="false" customHeight="true" outlineLevel="0" collapsed="false">
      <c r="B24" s="15"/>
      <c r="C24" s="15"/>
      <c r="D24" s="16"/>
      <c r="E24" s="16"/>
      <c r="F24" s="16"/>
      <c r="G24" s="16"/>
      <c r="H24" s="16"/>
    </row>
    <row r="25" customFormat="false" ht="30" hidden="false" customHeight="true" outlineLevel="0" collapsed="false">
      <c r="B25" s="15"/>
      <c r="C25" s="15"/>
      <c r="D25" s="16"/>
      <c r="E25" s="16"/>
      <c r="F25" s="16"/>
      <c r="G25" s="16"/>
      <c r="H25" s="16"/>
    </row>
    <row r="26" customFormat="false" ht="30" hidden="false" customHeight="true" outlineLevel="0" collapsed="false">
      <c r="B26" s="15"/>
      <c r="C26" s="15"/>
      <c r="D26" s="16"/>
      <c r="E26" s="16"/>
      <c r="F26" s="16"/>
      <c r="G26" s="16"/>
      <c r="H26" s="16"/>
    </row>
    <row r="27" customFormat="false" ht="30" hidden="false" customHeight="true" outlineLevel="0" collapsed="false">
      <c r="B27" s="15"/>
      <c r="C27" s="15"/>
      <c r="D27" s="16"/>
      <c r="E27" s="16"/>
      <c r="F27" s="16"/>
      <c r="G27" s="16"/>
      <c r="H27" s="16"/>
    </row>
    <row r="28" customFormat="false" ht="30" hidden="false" customHeight="true" outlineLevel="0" collapsed="false">
      <c r="B28" s="15"/>
      <c r="C28" s="15"/>
      <c r="D28" s="16"/>
      <c r="E28" s="16"/>
      <c r="F28" s="16"/>
      <c r="G28" s="16"/>
      <c r="H28" s="16"/>
    </row>
    <row r="29" customFormat="false" ht="30" hidden="false" customHeight="true" outlineLevel="0" collapsed="false">
      <c r="B29" s="15"/>
      <c r="C29" s="15"/>
      <c r="D29" s="16"/>
      <c r="E29" s="16"/>
      <c r="F29" s="16"/>
      <c r="G29" s="16"/>
      <c r="H29" s="16"/>
    </row>
    <row r="31" customFormat="false" ht="25.5" hidden="false" customHeight="true" outlineLevel="0" collapsed="false">
      <c r="B31" s="12" t="s">
        <v>94</v>
      </c>
      <c r="C31" s="12"/>
      <c r="D31" s="12"/>
      <c r="E31" s="17" t="s">
        <v>95</v>
      </c>
      <c r="F31" s="18" t="n">
        <f aca="false">COUNTA(E10:E29)</f>
        <v>0</v>
      </c>
      <c r="G31" s="17" t="s">
        <v>96</v>
      </c>
      <c r="H31" s="18" t="n">
        <f aca="false">COUNTIF(H10:H29,"✓ Résolu")</f>
        <v>0</v>
      </c>
    </row>
  </sheetData>
  <mergeCells count="3">
    <mergeCell ref="B2:H2"/>
    <mergeCell ref="B3:H3"/>
    <mergeCell ref="B31:D31"/>
  </mergeCells>
  <conditionalFormatting sqref="H10:H29">
    <cfRule type="expression" priority="2" aboveAverage="0" equalAverage="0" bottom="0" percent="0" rank="0" text="" dxfId="0">
      <formula>H10="✓ Résolu"</formula>
    </cfRule>
    <cfRule type="expression" priority="3" aboveAverage="0" equalAverage="0" bottom="0" percent="0" rank="0" text="" dxfId="1">
      <formula>H10="⏳ En cours"</formula>
    </cfRule>
    <cfRule type="expression" priority="4" aboveAverage="0" equalAverage="0" bottom="0" percent="0" rank="0" text="" dxfId="2">
      <formula>H10="📌 À traiter"</formula>
    </cfRule>
    <cfRule type="expression" priority="5" aboveAverage="0" equalAverage="0" bottom="0" percent="0" rank="0" text="" dxfId="3">
      <formula>H10="❌ Non résolu"</formula>
    </cfRule>
  </conditionalFormatting>
  <dataValidations count="2">
    <dataValidation allowBlank="true" errorStyle="stop" operator="between" showDropDown="false" showErrorMessage="false" showInputMessage="false" sqref="E10:E29" type="list">
      <formula1>"Logement,Transport/mobilité,Restauration,Santé,Financier,Mobilité internationale,Difficultés,Autre"</formula1>
      <formula2>0</formula2>
    </dataValidation>
    <dataValidation allowBlank="true" errorStyle="stop" operator="between" showDropDown="false" showErrorMessage="false" showInputMessage="false" sqref="H10:H29" type="list">
      <formula1>"✓ Résolu,⏳ En cours,📌 À traiter,❌ Non résolu"</formula1>
      <formula2>0</formula2>
    </dataValidation>
  </dataValidations>
  <printOptions headings="false" gridLines="false" gridLinesSet="true" horizontalCentered="true" verticalCentered="false"/>
  <pageMargins left="0.4" right="0.4" top="0.6" bottom="0.6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&amp;C&amp;9 &amp;K888780M32b — Accompagnement social apprentis  ·  &amp;A  · 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2026-05-21T18:15:08Z</dcterms:created>
  <dc:creator>openpyxl</dc:creator>
  <dc:description/>
  <dc:language>en-US</dc:language>
  <cp:lastModifiedBy/>
  <dcterms:modified xsi:type="dcterms:W3CDTF">2026-05-21T18:15:08Z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