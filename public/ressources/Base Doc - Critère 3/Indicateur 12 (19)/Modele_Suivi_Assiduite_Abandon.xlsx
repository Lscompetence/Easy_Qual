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 Mode d'emploi" sheetId="1" state="visible" r:id="rId3"/>
    <sheet name="👥 Bénéficiaires" sheetId="2" state="visible" r:id="rId4"/>
    <sheet name="📋 Saisie présences" sheetId="3" state="visible" r:id="rId5"/>
    <sheet name="📊 Synthèse présences" sheetId="4" state="visible" r:id="rId6"/>
    <sheet name="📞 Procédure relance"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<sst xmlns="http://schemas.openxmlformats.org/spreadsheetml/2006/main" count="270" uniqueCount="155">
  <si>
    <t xml:space="preserve">SUIVI ASSIDUITÉ &amp; ALERTE ABANDON</t>
  </si>
  <si>
    <t xml:space="preserve">Modèle M27 — Calcul automatique du taux de présence, alertes de seuil, procédure de relance — Ind. 12</t>
  </si>
  <si>
    <t xml:space="preserve">À QUOI SERT CE DOCUMENT</t>
  </si>
  <si>
    <t xml:space="preserve">Ce classeur trace la présence des bénéficiaires sur l'ensemble d'une session, calcule automatiquement les taux d'assiduité, déclenche des alertes visuelles selon les seuils (&lt;70% rouge, &lt;85% orange), et formalise la procédure de relance en cas d'absence répétée. Il complète la feuille d'émargement (M26) — qui reste la pièce de preuve signée — et alimente le certificat de réalisation (M32).</t>
  </si>
  <si>
    <t xml:space="preserve">STRUCTURE DU CLASSEUR</t>
  </si>
  <si>
    <t xml:space="preserve">👥 Bénéficiaires</t>
  </si>
  <si>
    <t xml:space="preserve">Liste de tous les inscrits à la session — 1 ligne par personne. Sert de référence pour les autres feuilles.</t>
  </si>
  <si>
    <t xml:space="preserve">📋 Saisie présences</t>
  </si>
  <si>
    <t xml:space="preserve">Grille demi-journée × bénéficiaire — saisir P / AJ / ANJ / R / FOAD / ABD à chaque demi-journée.</t>
  </si>
  <si>
    <t xml:space="preserve">📊 Synthèse présences</t>
  </si>
  <si>
    <t xml:space="preserve">Calcul automatique du taux d'assiduité par bénéficiaire + alertes seuils + statut global.</t>
  </si>
  <si>
    <t xml:space="preserve">📞 Procédure de relance</t>
  </si>
  <si>
    <t xml:space="preserve">Documentation des actions de relance — preuves d'envoi et suites données.</t>
  </si>
  <si>
    <t xml:space="preserve">📈 Synthèse session</t>
  </si>
  <si>
    <t xml:space="preserve">Vue d'ensemble : taux moyen, nombre d'alertes, candidats à risque d'abandon.</t>
  </si>
  <si>
    <t xml:space="preserve">LÉGENDE DES CODES DE PRÉSENCE</t>
  </si>
  <si>
    <t xml:space="preserve">P</t>
  </si>
  <si>
    <t xml:space="preserve">Présent — demi-journée intégralement suivie</t>
  </si>
  <si>
    <t xml:space="preserve">R</t>
  </si>
  <si>
    <t xml:space="preserve">Retard &lt; 15 min — comptabilisé en présent avec mention</t>
  </si>
  <si>
    <t xml:space="preserve">FOAD</t>
  </si>
  <si>
    <t xml:space="preserve">Présent en distanciel synchrone / asynchrone (traçabilité plateforme)</t>
  </si>
  <si>
    <t xml:space="preserve">AJ</t>
  </si>
  <si>
    <t xml:space="preserve">Absence justifiée (certif. médical, événement familial, etc.) — n'impacte pas négativement le taux</t>
  </si>
  <si>
    <t xml:space="preserve">ANJ</t>
  </si>
  <si>
    <t xml:space="preserve">Absence non justifiée — impact négatif sur le taux</t>
  </si>
  <si>
    <t xml:space="preserve">ABD</t>
  </si>
  <si>
    <t xml:space="preserve">Abandon de la formation — statut définitif</t>
  </si>
  <si>
    <t xml:space="preserve">SEUILS D'ALERTE — DÉCLENCHEMENT AUTOMATIQUE</t>
  </si>
  <si>
    <t xml:space="preserve">≥ 90%</t>
  </si>
  <si>
    <t xml:space="preserve">Excellente assiduité — aucune action particulière</t>
  </si>
  <si>
    <t xml:space="preserve">85% - 89%</t>
  </si>
  <si>
    <t xml:space="preserve">Bonne assiduité — vigilance simple</t>
  </si>
  <si>
    <t xml:space="preserve">70% - 84%</t>
  </si>
  <si>
    <t xml:space="preserve">⚠ Alerte orange — déclencher relance niveau 1 (sous 48h)</t>
  </si>
  <si>
    <t xml:space="preserve">&lt; 70%</t>
  </si>
  <si>
    <t xml:space="preserve">🚨 Alerte rouge — déclencher relance niveau 2 + bilan individuel (sous 24h)</t>
  </si>
  <si>
    <t xml:space="preserve">&lt; 50% ou ANJ ≥ 3</t>
  </si>
  <si>
    <t xml:space="preserve">🚨 Risque d'abandon — entretien d'urgence + décision (poursuite / abandon formalisé)</t>
  </si>
  <si>
    <t xml:space="preserve">💡 Ind. 12</t>
  </si>
  <si>
    <t xml:space="preserve">La prévention de l'abandon est l'élément central de l'Ind. 12. Le simple comptage ne suffit pas : l'audit cherche la TRACE des actions de prévention (relances tracées, entretiens, ajustements). Utilisez la feuille « 📞 Procédure relance » pour documenter chaque action — c'est cette trace qui fait foi.</t>
  </si>
  <si>
    <t xml:space="preserve">👥 LISTE DES BÉNÉFICIAIRES INSCRITS</t>
  </si>
  <si>
    <t xml:space="preserve">Une ligne par inscrit — référence pour les feuilles de saisie et de synthèse</t>
  </si>
  <si>
    <t xml:space="preserve">Session :</t>
  </si>
  <si>
    <t xml:space="preserve">[ Code session — Ex. SOF-CPCE-2026-S01 ]</t>
  </si>
  <si>
    <t xml:space="preserve">Intitulé :</t>
  </si>
  <si>
    <t xml:space="preserve">[ Intitulé exact ]</t>
  </si>
  <si>
    <t xml:space="preserve">Période :</t>
  </si>
  <si>
    <t xml:space="preserve">Du [ JJ/MM/AAAA ] au [ JJ/MM/AAAA ]</t>
  </si>
  <si>
    <t xml:space="preserve">Durée totale :</t>
  </si>
  <si>
    <t xml:space="preserve">[ XX h ]</t>
  </si>
  <si>
    <t xml:space="preserve">N°</t>
  </si>
  <si>
    <t xml:space="preserve">Nom</t>
  </si>
  <si>
    <t xml:space="preserve">Prénom</t>
  </si>
  <si>
    <t xml:space="preserve">Date de naissance</t>
  </si>
  <si>
    <t xml:space="preserve">Email</t>
  </si>
  <si>
    <t xml:space="preserve">Téléphone</t>
  </si>
  <si>
    <t xml:space="preserve">Financement</t>
  </si>
  <si>
    <t xml:space="preserve">01</t>
  </si>
  <si>
    <t xml:space="preserve">DUPONT</t>
  </si>
  <si>
    <t xml:space="preserve">Marie</t>
  </si>
  <si>
    <t xml:space="preserve">12/03/1985</t>
  </si>
  <si>
    <t xml:space="preserve">marie.dupont@email.fr</t>
  </si>
  <si>
    <t xml:space="preserve">06.XX.XX.XX.XX</t>
  </si>
  <si>
    <t xml:space="preserve">CPF</t>
  </si>
  <si>
    <t xml:space="preserve">02</t>
  </si>
  <si>
    <t xml:space="preserve">MARTIN</t>
  </si>
  <si>
    <t xml:space="preserve">Karim</t>
  </si>
  <si>
    <t xml:space="preserve">27/09/1990</t>
  </si>
  <si>
    <t xml:space="preserve">karim.martin@email.fr</t>
  </si>
  <si>
    <t xml:space="preserve">France Travail</t>
  </si>
  <si>
    <t xml:space="preserve">03</t>
  </si>
  <si>
    <t xml:space="preserve">BERNARD</t>
  </si>
  <si>
    <t xml:space="preserve">Sophie</t>
  </si>
  <si>
    <t xml:space="preserve">04/01/1978</t>
  </si>
  <si>
    <t xml:space="preserve">sophie.bernard@email.fr</t>
  </si>
  <si>
    <t xml:space="preserve">OPCO ATLAS</t>
  </si>
  <si>
    <t xml:space="preserve">04</t>
  </si>
  <si>
    <t xml:space="preserve">LEROY</t>
  </si>
  <si>
    <t xml:space="preserve">Thomas</t>
  </si>
  <si>
    <t xml:space="preserve">15/06/1995</t>
  </si>
  <si>
    <t xml:space="preserve">thomas.leroy@email.fr</t>
  </si>
  <si>
    <t xml:space="preserve">Plan employeur</t>
  </si>
  <si>
    <t xml:space="preserve">💡 Astuce</t>
  </si>
  <si>
    <t xml:space="preserve">Les noms saisis ici alimentent automatiquement les feuilles de saisie et de synthèse. Ajoutez/modifiez les bénéficiaires depuis cette feuille uniquement.</t>
  </si>
  <si>
    <t xml:space="preserve">📋 SAISIE DES PRÉSENCES — DEMI-JOURNÉES</t>
  </si>
  <si>
    <t xml:space="preserve">Saisir P / R / FOAD / AJ / ANJ / ABD pour chaque demi-journée — listes déroulantes disponibles</t>
  </si>
  <si>
    <t xml:space="preserve">P = Présent · R = Retard · FOAD = Distanciel · AJ = Abs. justifiée · ANJ = Abs. non justifiée · ABD = Abandon</t>
  </si>
  <si>
    <t xml:space="preserve">Bénéficiaire (Nom Prénom)</t>
  </si>
  <si>
    <t xml:space="preserve">J1</t>
  </si>
  <si>
    <t xml:space="preserve">J2</t>
  </si>
  <si>
    <t xml:space="preserve">J3</t>
  </si>
  <si>
    <t xml:space="preserve">J4</t>
  </si>
  <si>
    <t xml:space="preserve">J5</t>
  </si>
  <si>
    <t xml:space="preserve">J6</t>
  </si>
  <si>
    <t xml:space="preserve">J7</t>
  </si>
  <si>
    <t xml:space="preserve">J8</t>
  </si>
  <si>
    <t xml:space="preserve">J9</t>
  </si>
  <si>
    <t xml:space="preserve">J10</t>
  </si>
  <si>
    <t xml:space="preserve">Total ½ journées</t>
  </si>
  <si>
    <t xml:space="preserve">M</t>
  </si>
  <si>
    <t xml:space="preserve">AM</t>
  </si>
  <si>
    <t xml:space="preserve">💡 Notes</t>
  </si>
  <si>
    <t xml:space="preserve">Le calcul du total compte P + R + FOAD comme demi-journées « présentes ». Les AJ ne sont pas comptées négativement mais n'augmentent pas le total. Pour les sessions plus longues que 10 jours, dupliquer la feuille. Pour les sessions FOAD asynchrone, alimenter via les exports plateforme.</t>
  </si>
  <si>
    <t xml:space="preserve">📊 SYNTHÈSE DES PRÉSENCES &amp; ALERTES</t>
  </si>
  <si>
    <t xml:space="preserve">Calcul automatique du taux d'assiduité + alertes seuils + déclenchement procédure de relance</t>
  </si>
  <si>
    <t xml:space="preserve">Bénéficiaire</t>
  </si>
  <si>
    <t xml:space="preserve">Total ½ JR
présentes</t>
  </si>
  <si>
    <t xml:space="preserve">Taux
assiduité</t>
  </si>
  <si>
    <t xml:space="preserve">Statut &amp; alerte</t>
  </si>
  <si>
    <t xml:space="preserve">MOYENNE SESSION</t>
  </si>
  <si>
    <t xml:space="preserve">📞 PROCÉDURE DE PRÉVENTION DE L'ABANDON</t>
  </si>
  <si>
    <t xml:space="preserve">Documentation des actions de relance — Ind. 12 — Conserver les preuves d'envoi</t>
  </si>
  <si>
    <t xml:space="preserve">PROTOCOLE DE RELANCE — 3 NIVEAUX</t>
  </si>
  <si>
    <t xml:space="preserve">Niveau</t>
  </si>
  <si>
    <t xml:space="preserve">Déclencheur / Délai</t>
  </si>
  <si>
    <t xml:space="preserve">Action à mener</t>
  </si>
  <si>
    <t xml:space="preserve">Trace requise</t>
  </si>
  <si>
    <t xml:space="preserve">Niveau 1</t>
  </si>
  <si>
    <t xml:space="preserve">Sous 48h après 1ère absence non justifiée</t>
  </si>
  <si>
    <t xml:space="preserve">Email + appel téléphonique de prise de nouvelles — rappel des engagements — proposition d'écoute</t>
  </si>
  <si>
    <t xml:space="preserve">Trace : email + résumé écrit de l'appel</t>
  </si>
  <si>
    <t xml:space="preserve">Niveau 2</t>
  </si>
  <si>
    <t xml:space="preserve">Sous 24h après alerte orange/rouge (taux &lt; 85% ou &lt; 70%)</t>
  </si>
  <si>
    <t xml:space="preserve">Entretien individuel (présentiel ou visio) — diagnostic des difficultés — ajustements proposés (M28)</t>
  </si>
  <si>
    <t xml:space="preserve">Trace : compte-rendu d'entretien signé par les 2 parties</t>
  </si>
  <si>
    <t xml:space="preserve">Niveau 3</t>
  </si>
  <si>
    <t xml:space="preserve">Si poursuite des absences malgré niveaux 1-2 ou risque d'abandon avéré</t>
  </si>
  <si>
    <t xml:space="preserve">Réunion tripartite (bénéficiaire + responsable péda + employeur/prescripteur si applicable) — décision</t>
  </si>
  <si>
    <t xml:space="preserve">Trace : PV de réunion + décision formalisée (poursuite, suspension, abandon)</t>
  </si>
  <si>
    <t xml:space="preserve">REGISTRE DES RELANCES EFFECTUÉES</t>
  </si>
  <si>
    <t xml:space="preserve">Date</t>
  </si>
  <si>
    <t xml:space="preserve">Motif déclencheur</t>
  </si>
  <si>
    <t xml:space="preserve">Action menée</t>
  </si>
  <si>
    <t xml:space="preserve">Suite donnée</t>
  </si>
  <si>
    <t xml:space="preserve">Trace conservée</t>
  </si>
  <si>
    <t xml:space="preserve">J3 - 12/03/26</t>
  </si>
  <si>
    <t xml:space="preserve">Sophie BERNARD</t>
  </si>
  <si>
    <t xml:space="preserve">1ère absence non justifiée</t>
  </si>
  <si>
    <t xml:space="preserve">Email envoyé 12/03 14h + appel 13/03 9h</t>
  </si>
  <si>
    <t xml:space="preserve">Reprise normale dès J4</t>
  </si>
  <si>
    <t xml:space="preserve">Email + CR appel — dossier</t>
  </si>
  <si>
    <t xml:space="preserve">J8 - 22/03/26</t>
  </si>
  <si>
    <t xml:space="preserve">Taux &lt; 70% (3ème ANJ)</t>
  </si>
  <si>
    <t xml:space="preserve">Entretien individuel 23/03 — ajustement supports + tutorat 1h</t>
  </si>
  <si>
    <t xml:space="preserve">Engagement reprise — suivi rapproché</t>
  </si>
  <si>
    <t xml:space="preserve">CR signé — dossier individuel</t>
  </si>
  <si>
    <t xml:space="preserve">J9 - 24/03/26</t>
  </si>
  <si>
    <t xml:space="preserve">Thomas LEROY</t>
  </si>
  <si>
    <t xml:space="preserve">Abandon annoncé par le bénéficiaire</t>
  </si>
  <si>
    <t xml:space="preserve">Réunion tripartite 25/03 + employeur — confirmation abandon</t>
  </si>
  <si>
    <t xml:space="preserve">Abandon formalisé — clôture dossier</t>
  </si>
  <si>
    <t xml:space="preserve">PV de réunion — décision écrite</t>
  </si>
  <si>
    <t xml:space="preserve">💡 Pratique</t>
  </si>
  <si>
    <t xml:space="preserve">Toute action de relance doit laisser une trace écrite ET conservée. Une relance non tracée = une relance qui n'existe pas pour l'auditeur. Privilégier les supports écrits (email avec accusé de réception) et les comptes-rendus signés.</t>
  </si>
</sst>
</file>

<file path=xl/styles.xml><?xml version="1.0" encoding="utf-8"?>
<styleSheet xmlns="http://schemas.openxmlformats.org/spreadsheetml/2006/main">
  <numFmts count="3">
    <numFmt numFmtId="164" formatCode="General"/>
    <numFmt numFmtId="165" formatCode="General"/>
    <numFmt numFmtId="166" formatCode="0%"/>
  </numFmts>
  <fonts count="24">
    <font>
      <sz val="11"/>
      <color theme="1"/>
      <name val="Calibri"/>
      <family val="2"/>
      <charset val="1"/>
    </font>
    <font>
      <sz val="10"/>
      <name val="Arial"/>
      <family val="0"/>
    </font>
    <font>
      <sz val="10"/>
      <name val="Arial"/>
      <family val="0"/>
    </font>
    <font>
      <sz val="10"/>
      <name val="Arial"/>
      <family val="0"/>
    </font>
    <font>
      <b val="true"/>
      <sz val="20"/>
      <color rgb="FF0F2A47"/>
      <name val="Arial"/>
      <family val="0"/>
      <charset val="1"/>
    </font>
    <font>
      <i val="true"/>
      <sz val="11"/>
      <color rgb="FF5F5E5A"/>
      <name val="Arial"/>
      <family val="0"/>
      <charset val="1"/>
    </font>
    <font>
      <b val="true"/>
      <sz val="10"/>
      <color rgb="FFD85A30"/>
      <name val="Arial"/>
      <family val="0"/>
      <charset val="1"/>
    </font>
    <font>
      <sz val="10"/>
      <color rgb="FF2C2C2A"/>
      <name val="Arial"/>
      <family val="0"/>
      <charset val="1"/>
    </font>
    <font>
      <b val="true"/>
      <sz val="10"/>
      <color rgb="FF0F2A47"/>
      <name val="Arial"/>
      <family val="0"/>
      <charset val="1"/>
    </font>
    <font>
      <b val="true"/>
      <sz val="11"/>
      <color rgb="FF2C2C2A"/>
      <name val="Arial"/>
      <family val="0"/>
      <charset val="1"/>
    </font>
    <font>
      <b val="true"/>
      <sz val="10"/>
      <color rgb="FF2C2C2A"/>
      <name val="Arial"/>
      <family val="0"/>
      <charset val="1"/>
    </font>
    <font>
      <b val="true"/>
      <sz val="9"/>
      <color rgb="FFB98D27"/>
      <name val="Arial"/>
      <family val="0"/>
      <charset val="1"/>
    </font>
    <font>
      <sz val="9"/>
      <color rgb="FF2C2C2A"/>
      <name val="Arial"/>
      <family val="0"/>
      <charset val="1"/>
    </font>
    <font>
      <b val="true"/>
      <sz val="18"/>
      <color rgb="FF0F2A47"/>
      <name val="Arial"/>
      <family val="0"/>
      <charset val="1"/>
    </font>
    <font>
      <i val="true"/>
      <sz val="10"/>
      <color rgb="FF5F5E5A"/>
      <name val="Arial"/>
      <family val="0"/>
      <charset val="1"/>
    </font>
    <font>
      <i val="true"/>
      <sz val="10"/>
      <color rgb="FF888780"/>
      <name val="Arial"/>
      <family val="0"/>
      <charset val="1"/>
    </font>
    <font>
      <b val="true"/>
      <sz val="10"/>
      <color rgb="FFFFFFFF"/>
      <name val="Arial"/>
      <family val="0"/>
      <charset val="1"/>
    </font>
    <font>
      <i val="true"/>
      <sz val="9"/>
      <color rgb="FF5F5E5A"/>
      <name val="Arial"/>
      <family val="0"/>
      <charset val="1"/>
    </font>
    <font>
      <b val="true"/>
      <sz val="9"/>
      <color rgb="FFFFFFFF"/>
      <name val="Arial"/>
      <family val="0"/>
      <charset val="1"/>
    </font>
    <font>
      <i val="true"/>
      <sz val="9"/>
      <color rgb="FF888780"/>
      <name val="Arial"/>
      <family val="0"/>
      <charset val="1"/>
    </font>
    <font>
      <b val="true"/>
      <sz val="11"/>
      <color rgb="FF0F2A47"/>
      <name val="Arial"/>
      <family val="0"/>
      <charset val="1"/>
    </font>
    <font>
      <b val="true"/>
      <sz val="11"/>
      <color rgb="FFFFFFFF"/>
      <name val="Arial"/>
      <family val="0"/>
      <charset val="1"/>
    </font>
    <font>
      <b val="true"/>
      <sz val="11"/>
      <color rgb="FFD85A30"/>
      <name val="Arial"/>
      <family val="0"/>
      <charset val="1"/>
    </font>
    <font>
      <i val="true"/>
      <sz val="10"/>
      <color rgb="FF0F2A47"/>
      <name val="Arial"/>
      <family val="0"/>
      <charset val="1"/>
    </font>
  </fonts>
  <fills count="13">
    <fill>
      <patternFill patternType="none"/>
    </fill>
    <fill>
      <patternFill patternType="gray125"/>
    </fill>
    <fill>
      <patternFill patternType="solid">
        <fgColor rgb="FFFBFAF6"/>
        <bgColor rgb="FFFFFFFF"/>
      </patternFill>
    </fill>
    <fill>
      <patternFill patternType="solid">
        <fgColor rgb="FFD8EBC2"/>
        <bgColor rgb="FFE8E8E8"/>
      </patternFill>
    </fill>
    <fill>
      <patternFill patternType="solid">
        <fgColor rgb="FFF7DCB8"/>
        <bgColor rgb="FFF5E5A8"/>
      </patternFill>
    </fill>
    <fill>
      <patternFill patternType="solid">
        <fgColor rgb="FFF5E5A8"/>
        <bgColor rgb="FFF7DCB8"/>
      </patternFill>
    </fill>
    <fill>
      <patternFill patternType="solid">
        <fgColor rgb="FFF5C7C0"/>
        <bgColor rgb="FFF7DCB8"/>
      </patternFill>
    </fill>
    <fill>
      <patternFill patternType="solid">
        <fgColor rgb="FFE8E8E8"/>
        <bgColor rgb="FFF1EFE8"/>
      </patternFill>
    </fill>
    <fill>
      <patternFill patternType="solid">
        <fgColor rgb="FFFAEEDA"/>
        <bgColor rgb="FFF1EFE8"/>
      </patternFill>
    </fill>
    <fill>
      <patternFill patternType="solid">
        <fgColor rgb="FFF1EFE8"/>
        <bgColor rgb="FFFAEEDA"/>
      </patternFill>
    </fill>
    <fill>
      <patternFill patternType="solid">
        <fgColor rgb="FF0F2A47"/>
        <bgColor rgb="FF2C2C2A"/>
      </patternFill>
    </fill>
    <fill>
      <patternFill patternType="solid">
        <fgColor rgb="FFE6F0FA"/>
        <bgColor rgb="FFF1EFE8"/>
      </patternFill>
    </fill>
    <fill>
      <patternFill patternType="solid">
        <fgColor rgb="FFFFFFFF"/>
        <bgColor rgb="FFFBFAF6"/>
      </patternFill>
    </fill>
  </fills>
  <borders count="5">
    <border diagonalUp="false" diagonalDown="false">
      <left/>
      <right/>
      <top/>
      <bottom/>
      <diagonal/>
    </border>
    <border diagonalUp="false" diagonalDown="false">
      <left/>
      <right/>
      <top style="medium">
        <color rgb="FFD85A30"/>
      </top>
      <bottom/>
      <diagonal/>
    </border>
    <border diagonalUp="false" diagonalDown="false">
      <left style="thin">
        <color rgb="FFD3D1C7"/>
      </left>
      <right style="thin">
        <color rgb="FFD3D1C7"/>
      </right>
      <top style="thin">
        <color rgb="FFD3D1C7"/>
      </top>
      <bottom style="thin">
        <color rgb="FFD3D1C7"/>
      </bottom>
      <diagonal/>
    </border>
    <border diagonalUp="false" diagonalDown="false">
      <left style="thick">
        <color rgb="FFB98D27"/>
      </left>
      <right style="thin">
        <color rgb="FFD3D1C7"/>
      </right>
      <top style="thin">
        <color rgb="FFD3D1C7"/>
      </top>
      <bottom style="thin">
        <color rgb="FFD3D1C7"/>
      </bottom>
      <diagonal/>
    </border>
    <border diagonalUp="false" diagonalDown="false">
      <left/>
      <right style="thin">
        <color rgb="FFD3D1C7"/>
      </right>
      <top style="thin">
        <color rgb="FFD3D1C7"/>
      </top>
      <bottom style="thin">
        <color rgb="FFD3D1C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left" vertical="center" textRotation="0" wrapText="tru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8" fillId="2" borderId="2" xfId="0" applyFont="true" applyBorder="true" applyAlignment="true" applyProtection="false">
      <alignment horizontal="left" vertical="center" textRotation="0" wrapText="true" indent="0" shrinkToFit="false"/>
      <protection locked="true" hidden="false"/>
    </xf>
    <xf numFmtId="164" fontId="7" fillId="0" borderId="2" xfId="0" applyFont="true" applyBorder="true" applyAlignment="true" applyProtection="false">
      <alignment horizontal="left" vertical="center" textRotation="0" wrapText="true" indent="0" shrinkToFit="false"/>
      <protection locked="true" hidden="false"/>
    </xf>
    <xf numFmtId="164" fontId="9" fillId="3" borderId="2" xfId="0" applyFont="true" applyBorder="true" applyAlignment="true" applyProtection="false">
      <alignment horizontal="center" vertical="center" textRotation="0" wrapText="false" indent="0" shrinkToFit="false"/>
      <protection locked="true" hidden="false"/>
    </xf>
    <xf numFmtId="164" fontId="9" fillId="4" borderId="2" xfId="0" applyFont="true" applyBorder="true" applyAlignment="true" applyProtection="false">
      <alignment horizontal="center" vertical="center" textRotation="0" wrapText="false" indent="0" shrinkToFit="false"/>
      <protection locked="true" hidden="false"/>
    </xf>
    <xf numFmtId="164" fontId="9" fillId="5" borderId="2" xfId="0" applyFont="true" applyBorder="true" applyAlignment="true" applyProtection="false">
      <alignment horizontal="center" vertical="center" textRotation="0" wrapText="false" indent="0" shrinkToFit="false"/>
      <protection locked="true" hidden="false"/>
    </xf>
    <xf numFmtId="164" fontId="9" fillId="6" borderId="2" xfId="0" applyFont="true" applyBorder="true" applyAlignment="true" applyProtection="false">
      <alignment horizontal="center" vertical="center" textRotation="0" wrapText="false" indent="0" shrinkToFit="false"/>
      <protection locked="true" hidden="false"/>
    </xf>
    <xf numFmtId="164" fontId="9" fillId="7" borderId="2" xfId="0" applyFont="true" applyBorder="true" applyAlignment="true" applyProtection="false">
      <alignment horizontal="center" vertical="center" textRotation="0" wrapText="false" indent="0" shrinkToFit="false"/>
      <protection locked="true" hidden="false"/>
    </xf>
    <xf numFmtId="164" fontId="10" fillId="3" borderId="2" xfId="0" applyFont="true" applyBorder="true" applyAlignment="true" applyProtection="false">
      <alignment horizontal="center" vertical="center" textRotation="0" wrapText="false" indent="0" shrinkToFit="false"/>
      <protection locked="true" hidden="false"/>
    </xf>
    <xf numFmtId="164" fontId="10" fillId="4" borderId="2" xfId="0" applyFont="true" applyBorder="true" applyAlignment="true" applyProtection="false">
      <alignment horizontal="center" vertical="center" textRotation="0" wrapText="false" indent="0" shrinkToFit="false"/>
      <protection locked="true" hidden="false"/>
    </xf>
    <xf numFmtId="164" fontId="10" fillId="6" borderId="2" xfId="0" applyFont="true" applyBorder="true" applyAlignment="true" applyProtection="false">
      <alignment horizontal="center" vertical="center" textRotation="0" wrapText="false" indent="0" shrinkToFit="false"/>
      <protection locked="true" hidden="false"/>
    </xf>
    <xf numFmtId="164" fontId="11" fillId="8" borderId="3" xfId="0" applyFont="true" applyBorder="true" applyAlignment="false" applyProtection="false">
      <alignment horizontal="general" vertical="bottom" textRotation="0" wrapText="false" indent="0" shrinkToFit="false"/>
      <protection locked="true" hidden="false"/>
    </xf>
    <xf numFmtId="164" fontId="12" fillId="8" borderId="4" xfId="0" applyFont="true" applyBorder="true" applyAlignment="true" applyProtection="false">
      <alignment horizontal="left" vertical="top" textRotation="0" wrapText="true" indent="0" shrinkToFit="false"/>
      <protection locked="true" hidden="false"/>
    </xf>
    <xf numFmtId="164" fontId="13" fillId="0" borderId="0" xfId="0" applyFont="true" applyBorder="true" applyAlignment="true" applyProtection="false">
      <alignment horizontal="left" vertical="center" textRotation="0" wrapText="false" indent="0" shrinkToFit="false"/>
      <protection locked="true" hidden="false"/>
    </xf>
    <xf numFmtId="164" fontId="14" fillId="0" borderId="0" xfId="0" applyFont="true" applyBorder="true" applyAlignment="true" applyProtection="false">
      <alignment horizontal="left" vertical="center" textRotation="0" wrapText="true" indent="0" shrinkToFit="false"/>
      <protection locked="true" hidden="false"/>
    </xf>
    <xf numFmtId="164" fontId="10" fillId="2" borderId="2" xfId="0" applyFont="true" applyBorder="true" applyAlignment="true" applyProtection="false">
      <alignment horizontal="left" vertical="center" textRotation="0" wrapText="true" indent="0" shrinkToFit="false"/>
      <protection locked="true" hidden="false"/>
    </xf>
    <xf numFmtId="164" fontId="15" fillId="9" borderId="2" xfId="0" applyFont="true" applyBorder="true" applyAlignment="true" applyProtection="false">
      <alignment horizontal="left" vertical="center" textRotation="0" wrapText="false" indent="0" shrinkToFit="false"/>
      <protection locked="true" hidden="false"/>
    </xf>
    <xf numFmtId="164" fontId="16" fillId="10" borderId="2" xfId="0" applyFont="true" applyBorder="true" applyAlignment="true" applyProtection="false">
      <alignment horizontal="center" vertical="center" textRotation="0" wrapText="true" indent="0" shrinkToFit="false"/>
      <protection locked="true" hidden="false"/>
    </xf>
    <xf numFmtId="164" fontId="15" fillId="9" borderId="2" xfId="0" applyFont="true" applyBorder="true" applyAlignment="true" applyProtection="false">
      <alignment horizontal="center" vertical="center" textRotation="0" wrapText="true" indent="0" shrinkToFit="false"/>
      <protection locked="true" hidden="false"/>
    </xf>
    <xf numFmtId="164" fontId="15" fillId="9" borderId="2" xfId="0" applyFont="true" applyBorder="true" applyAlignment="true" applyProtection="false">
      <alignment horizontal="left" vertical="center" textRotation="0" wrapText="true" indent="0" shrinkToFit="false"/>
      <protection locked="true" hidden="false"/>
    </xf>
    <xf numFmtId="164" fontId="7" fillId="11" borderId="2" xfId="0" applyFont="true" applyBorder="true" applyAlignment="true" applyProtection="false">
      <alignment horizontal="center" vertical="center" textRotation="0" wrapText="false" indent="0" shrinkToFit="false"/>
      <protection locked="true" hidden="false"/>
    </xf>
    <xf numFmtId="164" fontId="7" fillId="11" borderId="2" xfId="0" applyFont="true" applyBorder="true" applyAlignment="true" applyProtection="false">
      <alignment horizontal="left" vertical="center" textRotation="0" wrapText="false" indent="0" shrinkToFit="false"/>
      <protection locked="true" hidden="false"/>
    </xf>
    <xf numFmtId="164" fontId="17" fillId="0" borderId="0" xfId="0" applyFont="true" applyBorder="true" applyAlignment="true" applyProtection="false">
      <alignment horizontal="left" vertical="center" textRotation="0" wrapText="false" indent="0" shrinkToFit="false"/>
      <protection locked="true" hidden="false"/>
    </xf>
    <xf numFmtId="164" fontId="18" fillId="10" borderId="2" xfId="0" applyFont="true" applyBorder="true" applyAlignment="true" applyProtection="false">
      <alignment horizontal="center" vertical="center" textRotation="0" wrapText="true" indent="0" shrinkToFit="false"/>
      <protection locked="true" hidden="false"/>
    </xf>
    <xf numFmtId="164" fontId="7" fillId="2" borderId="2" xfId="0" applyFont="true" applyBorder="true" applyAlignment="true" applyProtection="false">
      <alignment horizontal="center" vertical="center" textRotation="0" wrapText="false" indent="0" shrinkToFit="false"/>
      <protection locked="true" hidden="false"/>
    </xf>
    <xf numFmtId="164" fontId="7" fillId="2" borderId="2" xfId="0" applyFont="true" applyBorder="true" applyAlignment="true" applyProtection="false">
      <alignment horizontal="left" vertical="center" textRotation="0" wrapText="false" indent="0" shrinkToFit="false"/>
      <protection locked="true" hidden="false"/>
    </xf>
    <xf numFmtId="164" fontId="19" fillId="9" borderId="2" xfId="0" applyFont="true" applyBorder="true" applyAlignment="true" applyProtection="false">
      <alignment horizontal="center" vertical="center" textRotation="0" wrapText="false" indent="0" shrinkToFit="false"/>
      <protection locked="true" hidden="false"/>
    </xf>
    <xf numFmtId="165" fontId="8" fillId="2" borderId="2" xfId="0" applyFont="true" applyBorder="true" applyAlignment="true" applyProtection="false">
      <alignment horizontal="center" vertical="center" textRotation="0" wrapText="false" indent="0" shrinkToFit="false"/>
      <protection locked="true" hidden="false"/>
    </xf>
    <xf numFmtId="164" fontId="12" fillId="11" borderId="2" xfId="0" applyFont="true" applyBorder="true" applyAlignment="true" applyProtection="false">
      <alignment horizontal="center" vertical="center" textRotation="0" wrapText="false" indent="0" shrinkToFit="false"/>
      <protection locked="true" hidden="false"/>
    </xf>
    <xf numFmtId="165" fontId="8" fillId="12" borderId="2" xfId="0" applyFont="true" applyBorder="true" applyAlignment="true" applyProtection="false">
      <alignment horizontal="center" vertical="center" textRotation="0" wrapText="false" indent="0" shrinkToFit="false"/>
      <protection locked="true" hidden="false"/>
    </xf>
    <xf numFmtId="165" fontId="7" fillId="12" borderId="2" xfId="0" applyFont="true" applyBorder="true" applyAlignment="true" applyProtection="false">
      <alignment horizontal="center" vertical="center" textRotation="0" wrapText="false" indent="0" shrinkToFit="false"/>
      <protection locked="true" hidden="false"/>
    </xf>
    <xf numFmtId="166" fontId="20" fillId="12" borderId="2" xfId="0" applyFont="true" applyBorder="true" applyAlignment="true" applyProtection="false">
      <alignment horizontal="center" vertical="center" textRotation="0" wrapText="false" indent="0" shrinkToFit="false"/>
      <protection locked="true" hidden="false"/>
    </xf>
    <xf numFmtId="164" fontId="10" fillId="12" borderId="2" xfId="0" applyFont="true" applyBorder="true" applyAlignment="true" applyProtection="false">
      <alignment horizontal="center" vertical="center" textRotation="0" wrapText="false" indent="0" shrinkToFit="false"/>
      <protection locked="true" hidden="false"/>
    </xf>
    <xf numFmtId="164" fontId="21" fillId="10" borderId="2" xfId="0" applyFont="true" applyBorder="true" applyAlignment="true" applyProtection="false">
      <alignment horizontal="center" vertical="center" textRotation="0" wrapText="true" indent="0" shrinkToFit="false"/>
      <protection locked="true" hidden="false"/>
    </xf>
    <xf numFmtId="166" fontId="21" fillId="10" borderId="2" xfId="0" applyFont="true" applyBorder="true" applyAlignment="true" applyProtection="false">
      <alignment horizontal="center" vertical="center" textRotation="0" wrapText="false" indent="0" shrinkToFit="false"/>
      <protection locked="true" hidden="false"/>
    </xf>
    <xf numFmtId="164" fontId="16" fillId="10" borderId="2" xfId="0" applyFont="true" applyBorder="true" applyAlignment="true" applyProtection="false">
      <alignment horizontal="center" vertical="center" textRotation="0" wrapText="false" indent="0" shrinkToFit="false"/>
      <protection locked="true" hidden="false"/>
    </xf>
    <xf numFmtId="164" fontId="22" fillId="0" borderId="0" xfId="0" applyFont="true" applyBorder="true" applyAlignment="true" applyProtection="false">
      <alignment horizontal="left" vertical="center" textRotation="0" wrapText="true" indent="0" shrinkToFit="false"/>
      <protection locked="true" hidden="false"/>
    </xf>
    <xf numFmtId="164" fontId="22" fillId="2" borderId="2" xfId="0" applyFont="true" applyBorder="true" applyAlignment="true" applyProtection="false">
      <alignment horizontal="center" vertical="center" textRotation="0" wrapText="true" indent="0" shrinkToFit="false"/>
      <protection locked="true" hidden="false"/>
    </xf>
    <xf numFmtId="164" fontId="7" fillId="12" borderId="2" xfId="0" applyFont="true" applyBorder="true" applyAlignment="true" applyProtection="false">
      <alignment horizontal="left" vertical="center" textRotation="0" wrapText="true" indent="0" shrinkToFit="false"/>
      <protection locked="true" hidden="false"/>
    </xf>
    <xf numFmtId="164" fontId="23" fillId="12" borderId="2" xfId="0" applyFont="true" applyBorder="true" applyAlignment="true" applyProtection="false">
      <alignment horizontal="left" vertical="center" textRotation="0" wrapText="true" indent="0" shrinkToFit="false"/>
      <protection locked="true" hidden="false"/>
    </xf>
    <xf numFmtId="164" fontId="19" fillId="9" borderId="2" xfId="0" applyFont="true" applyBorder="true" applyAlignment="true" applyProtection="false">
      <alignment horizontal="left" vertical="top" textRotation="0" wrapText="true" indent="0" shrinkToFit="false"/>
      <protection locked="true" hidden="false"/>
    </xf>
    <xf numFmtId="164" fontId="7" fillId="11" borderId="2"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bgColor rgb="FFD8EBC2"/>
        </patternFill>
      </fill>
    </dxf>
    <dxf>
      <fill>
        <patternFill>
          <bgColor rgb="FFF7DCB8"/>
        </patternFill>
      </fill>
    </dxf>
    <dxf>
      <fill>
        <patternFill>
          <bgColor rgb="FFF5E5A8"/>
        </patternFill>
      </fill>
    </dxf>
    <dxf>
      <fill>
        <patternFill>
          <bgColor rgb="FFF5C7C0"/>
        </patternFill>
      </fill>
    </dxf>
    <dxf>
      <fill>
        <patternFill>
          <bgColor rgb="FFE8E8E8"/>
        </patternFill>
      </fill>
    </dxf>
    <dxf>
      <font>
        <name val="Arial"/>
        <charset val="1"/>
        <family val="0"/>
        <b val="1"/>
        <color rgb="FF2C5C1E"/>
        <sz val="10"/>
      </font>
      <fill>
        <patternFill>
          <bgColor rgb="FFD8EBC2"/>
        </patternFill>
      </fill>
    </dxf>
    <dxf>
      <font>
        <name val="Arial"/>
        <charset val="1"/>
        <family val="0"/>
        <b val="1"/>
        <color rgb="FF2C2C2A"/>
        <sz val="10"/>
      </font>
      <fill>
        <patternFill>
          <bgColor rgb="FFF5E5A8"/>
        </patternFill>
      </fill>
    </dxf>
    <dxf>
      <font>
        <name val="Arial"/>
        <charset val="1"/>
        <family val="0"/>
        <b val="1"/>
        <color rgb="FF8B4513"/>
        <sz val="10"/>
      </font>
      <fill>
        <patternFill>
          <bgColor rgb="FFF7DCB8"/>
        </patternFill>
      </fill>
    </dxf>
    <dxf>
      <font>
        <name val="Arial"/>
        <charset val="1"/>
        <family val="0"/>
        <b val="1"/>
        <color rgb="FF8B0000"/>
        <sz val="10"/>
      </font>
      <fill>
        <patternFill>
          <bgColor rgb="FFF5C7C0"/>
        </patternFill>
      </fill>
    </dxf>
    <dxf>
      <font>
        <name val="Arial"/>
        <charset val="1"/>
        <family val="0"/>
        <b val="1"/>
        <color rgb="FF2C2C2A"/>
        <sz val="10"/>
      </font>
      <fill>
        <patternFill>
          <bgColor rgb="FFE8E8E8"/>
        </patternFill>
      </fill>
    </dxf>
  </dxfs>
  <colors>
    <indexedColors>
      <rgbColor rgb="FF000000"/>
      <rgbColor rgb="FFFFFFFF"/>
      <rgbColor rgb="FFFF0000"/>
      <rgbColor rgb="FF00FF00"/>
      <rgbColor rgb="FF0000FF"/>
      <rgbColor rgb="FFFFFF00"/>
      <rgbColor rgb="FFFF00FF"/>
      <rgbColor rgb="FF00FFFF"/>
      <rgbColor rgb="FF8B0000"/>
      <rgbColor rgb="FF008000"/>
      <rgbColor rgb="FF000080"/>
      <rgbColor rgb="FFB98D27"/>
      <rgbColor rgb="FF800080"/>
      <rgbColor rgb="FF008080"/>
      <rgbColor rgb="FFD3D1C7"/>
      <rgbColor rgb="FF888780"/>
      <rgbColor rgb="FF9999FF"/>
      <rgbColor rgb="FF993366"/>
      <rgbColor rgb="FFFAEEDA"/>
      <rgbColor rgb="FFE6F0FA"/>
      <rgbColor rgb="FF660066"/>
      <rgbColor rgb="FFFF8080"/>
      <rgbColor rgb="FF0066CC"/>
      <rgbColor rgb="FFF1EFE8"/>
      <rgbColor rgb="FF000080"/>
      <rgbColor rgb="FFFF00FF"/>
      <rgbColor rgb="FFFFFF00"/>
      <rgbColor rgb="FF00FFFF"/>
      <rgbColor rgb="FF800080"/>
      <rgbColor rgb="FF800000"/>
      <rgbColor rgb="FF008080"/>
      <rgbColor rgb="FF0000FF"/>
      <rgbColor rgb="FF00CCFF"/>
      <rgbColor rgb="FFE8E8E8"/>
      <rgbColor rgb="FFD8EBC2"/>
      <rgbColor rgb="FFF5E5A8"/>
      <rgbColor rgb="FFFBFAF6"/>
      <rgbColor rgb="FFF7DCB8"/>
      <rgbColor rgb="FFCC99FF"/>
      <rgbColor rgb="FFF5C7C0"/>
      <rgbColor rgb="FF3366FF"/>
      <rgbColor rgb="FF33CCCC"/>
      <rgbColor rgb="FF99CC00"/>
      <rgbColor rgb="FFFFCC00"/>
      <rgbColor rgb="FFFF9900"/>
      <rgbColor rgb="FFD85A30"/>
      <rgbColor rgb="FF5F5E5A"/>
      <rgbColor rgb="FF969696"/>
      <rgbColor rgb="FF0F2A47"/>
      <rgbColor rgb="FF339966"/>
      <rgbColor rgb="FF003300"/>
      <rgbColor rgb="FF2C5C1E"/>
      <rgbColor rgb="FF8B4513"/>
      <rgbColor rgb="FF993366"/>
      <rgbColor rgb="FF333399"/>
      <rgbColor rgb="FF2C2C2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C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60"/>
    <col collapsed="false" customWidth="true" hidden="false" outlineLevel="0" max="4" min="4" style="0" width="3"/>
  </cols>
  <sheetData>
    <row r="2" customFormat="false" ht="31.5" hidden="false" customHeight="true" outlineLevel="0" collapsed="false">
      <c r="B2" s="1" t="s">
        <v>0</v>
      </c>
      <c r="C2" s="1"/>
    </row>
    <row r="3" customFormat="false" ht="21.75" hidden="false" customHeight="true" outlineLevel="0" collapsed="false">
      <c r="B3" s="2" t="s">
        <v>1</v>
      </c>
      <c r="C3" s="2"/>
    </row>
    <row r="4" customFormat="false" ht="6" hidden="false" customHeight="true" outlineLevel="0" collapsed="false">
      <c r="B4" s="3"/>
      <c r="C4" s="3"/>
    </row>
    <row r="6" customFormat="false" ht="21.75" hidden="false" customHeight="true" outlineLevel="0" collapsed="false">
      <c r="B6" s="4" t="s">
        <v>2</v>
      </c>
      <c r="C6" s="4"/>
    </row>
    <row r="7" customFormat="false" ht="79.5" hidden="false" customHeight="true" outlineLevel="0" collapsed="false">
      <c r="C7" s="5" t="s">
        <v>3</v>
      </c>
    </row>
    <row r="9" customFormat="false" ht="21.75" hidden="false" customHeight="true" outlineLevel="0" collapsed="false">
      <c r="B9" s="4" t="s">
        <v>4</v>
      </c>
      <c r="C9" s="4"/>
    </row>
    <row r="10" customFormat="false" ht="37.5" hidden="false" customHeight="true" outlineLevel="0" collapsed="false">
      <c r="B10" s="6" t="s">
        <v>5</v>
      </c>
      <c r="C10" s="7" t="s">
        <v>6</v>
      </c>
    </row>
    <row r="11" customFormat="false" ht="37.5" hidden="false" customHeight="true" outlineLevel="0" collapsed="false">
      <c r="B11" s="6" t="s">
        <v>7</v>
      </c>
      <c r="C11" s="7" t="s">
        <v>8</v>
      </c>
    </row>
    <row r="12" customFormat="false" ht="37.5" hidden="false" customHeight="true" outlineLevel="0" collapsed="false">
      <c r="B12" s="6" t="s">
        <v>9</v>
      </c>
      <c r="C12" s="7" t="s">
        <v>10</v>
      </c>
    </row>
    <row r="13" customFormat="false" ht="37.5" hidden="false" customHeight="true" outlineLevel="0" collapsed="false">
      <c r="B13" s="6" t="s">
        <v>11</v>
      </c>
      <c r="C13" s="7" t="s">
        <v>12</v>
      </c>
    </row>
    <row r="14" customFormat="false" ht="37.5" hidden="false" customHeight="true" outlineLevel="0" collapsed="false">
      <c r="B14" s="6" t="s">
        <v>13</v>
      </c>
      <c r="C14" s="7" t="s">
        <v>14</v>
      </c>
    </row>
    <row r="16" customFormat="false" ht="21.75" hidden="false" customHeight="true" outlineLevel="0" collapsed="false">
      <c r="B16" s="4" t="s">
        <v>15</v>
      </c>
      <c r="C16" s="4"/>
    </row>
    <row r="17" customFormat="false" ht="25.5" hidden="false" customHeight="true" outlineLevel="0" collapsed="false">
      <c r="B17" s="8" t="s">
        <v>16</v>
      </c>
      <c r="C17" s="7" t="s">
        <v>17</v>
      </c>
    </row>
    <row r="18" customFormat="false" ht="25.5" hidden="false" customHeight="true" outlineLevel="0" collapsed="false">
      <c r="B18" s="9" t="s">
        <v>18</v>
      </c>
      <c r="C18" s="7" t="s">
        <v>19</v>
      </c>
    </row>
    <row r="19" customFormat="false" ht="25.5" hidden="false" customHeight="true" outlineLevel="0" collapsed="false">
      <c r="B19" s="8" t="s">
        <v>20</v>
      </c>
      <c r="C19" s="7" t="s">
        <v>21</v>
      </c>
    </row>
    <row r="20" customFormat="false" ht="25.5" hidden="false" customHeight="true" outlineLevel="0" collapsed="false">
      <c r="B20" s="10" t="s">
        <v>22</v>
      </c>
      <c r="C20" s="7" t="s">
        <v>23</v>
      </c>
    </row>
    <row r="21" customFormat="false" ht="25.5" hidden="false" customHeight="true" outlineLevel="0" collapsed="false">
      <c r="B21" s="11" t="s">
        <v>24</v>
      </c>
      <c r="C21" s="7" t="s">
        <v>25</v>
      </c>
    </row>
    <row r="22" customFormat="false" ht="25.5" hidden="false" customHeight="true" outlineLevel="0" collapsed="false">
      <c r="B22" s="12" t="s">
        <v>26</v>
      </c>
      <c r="C22" s="7" t="s">
        <v>27</v>
      </c>
    </row>
    <row r="24" customFormat="false" ht="21.75" hidden="false" customHeight="true" outlineLevel="0" collapsed="false">
      <c r="B24" s="4" t="s">
        <v>28</v>
      </c>
      <c r="C24" s="4"/>
    </row>
    <row r="25" customFormat="false" ht="31.5" hidden="false" customHeight="true" outlineLevel="0" collapsed="false">
      <c r="B25" s="13" t="s">
        <v>29</v>
      </c>
      <c r="C25" s="7" t="s">
        <v>30</v>
      </c>
    </row>
    <row r="26" customFormat="false" ht="31.5" hidden="false" customHeight="true" outlineLevel="0" collapsed="false">
      <c r="B26" s="14" t="s">
        <v>31</v>
      </c>
      <c r="C26" s="7" t="s">
        <v>32</v>
      </c>
    </row>
    <row r="27" customFormat="false" ht="31.5" hidden="false" customHeight="true" outlineLevel="0" collapsed="false">
      <c r="B27" s="14" t="s">
        <v>33</v>
      </c>
      <c r="C27" s="7" t="s">
        <v>34</v>
      </c>
    </row>
    <row r="28" customFormat="false" ht="31.5" hidden="false" customHeight="true" outlineLevel="0" collapsed="false">
      <c r="B28" s="15" t="s">
        <v>35</v>
      </c>
      <c r="C28" s="7" t="s">
        <v>36</v>
      </c>
    </row>
    <row r="29" customFormat="false" ht="31.5" hidden="false" customHeight="true" outlineLevel="0" collapsed="false">
      <c r="B29" s="15" t="s">
        <v>37</v>
      </c>
      <c r="C29" s="7" t="s">
        <v>38</v>
      </c>
    </row>
    <row r="31" customFormat="false" ht="60" hidden="false" customHeight="true" outlineLevel="0" collapsed="false">
      <c r="B31" s="16" t="s">
        <v>39</v>
      </c>
      <c r="C31" s="17" t="s">
        <v>40</v>
      </c>
    </row>
  </sheetData>
  <mergeCells count="6">
    <mergeCell ref="B2:C2"/>
    <mergeCell ref="B3:C3"/>
    <mergeCell ref="B6:C6"/>
    <mergeCell ref="B9:C9"/>
    <mergeCell ref="B16:C16"/>
    <mergeCell ref="B24:C24"/>
  </mergeCells>
  <printOptions headings="false" gridLines="false" gridLinesSet="true" horizontalCentered="true" verticalCentered="false"/>
  <pageMargins left="0.4" right="0.4" top="0.6" bottom="0.6" header="0.511811023622047" footer="0.3"/>
  <pageSetup paperSize="9" scale="100" fitToWidth="1" fitToHeight="0" pageOrder="downThenOver" orientation="portrait" blackAndWhite="false" draft="false" cellComments="none" horizontalDpi="300" verticalDpi="300" copies="1"/>
  <headerFooter differentFirst="false" differentOddEven="false">
    <oddHeader/>
    <oddFooter>&amp;C&amp;9 &amp;K888780M27 — Suivi assiduité alerte abandon  ·  &amp;A  ·  Page &amp;P /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H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6"/>
    <col collapsed="false" customWidth="true" hidden="false" outlineLevel="0" max="4" min="3" style="0" width="22"/>
    <col collapsed="false" customWidth="true" hidden="false" outlineLevel="0" max="5" min="5" style="0" width="18"/>
    <col collapsed="false" customWidth="true" hidden="false" outlineLevel="0" max="6" min="6" style="0" width="24"/>
    <col collapsed="false" customWidth="true" hidden="false" outlineLevel="0" max="7" min="7" style="0" width="16"/>
    <col collapsed="false" customWidth="true" hidden="false" outlineLevel="0" max="8" min="8" style="0" width="18"/>
    <col collapsed="false" customWidth="true" hidden="false" outlineLevel="0" max="9" min="9" style="0" width="2"/>
  </cols>
  <sheetData>
    <row r="2" customFormat="false" ht="30" hidden="false" customHeight="true" outlineLevel="0" collapsed="false">
      <c r="B2" s="18" t="s">
        <v>41</v>
      </c>
      <c r="C2" s="18"/>
      <c r="D2" s="18"/>
      <c r="E2" s="18"/>
      <c r="F2" s="18"/>
      <c r="G2" s="18"/>
      <c r="H2" s="18"/>
    </row>
    <row r="3" customFormat="false" ht="19.5" hidden="false" customHeight="true" outlineLevel="0" collapsed="false">
      <c r="B3" s="19" t="s">
        <v>42</v>
      </c>
      <c r="C3" s="19"/>
      <c r="D3" s="19"/>
      <c r="E3" s="19"/>
      <c r="F3" s="19"/>
      <c r="G3" s="19"/>
      <c r="H3" s="19"/>
    </row>
    <row r="4" customFormat="false" ht="6" hidden="false" customHeight="true" outlineLevel="0" collapsed="false">
      <c r="B4" s="3"/>
      <c r="C4" s="3"/>
      <c r="D4" s="3"/>
      <c r="E4" s="3"/>
      <c r="F4" s="3"/>
      <c r="G4" s="3"/>
      <c r="H4" s="3"/>
    </row>
    <row r="6" customFormat="false" ht="24" hidden="false" customHeight="true" outlineLevel="0" collapsed="false">
      <c r="B6" s="20" t="s">
        <v>43</v>
      </c>
      <c r="C6" s="20"/>
      <c r="D6" s="21" t="s">
        <v>44</v>
      </c>
      <c r="E6" s="21"/>
      <c r="F6" s="20" t="s">
        <v>45</v>
      </c>
      <c r="G6" s="21" t="s">
        <v>46</v>
      </c>
      <c r="H6" s="21"/>
    </row>
    <row r="7" customFormat="false" ht="24" hidden="false" customHeight="true" outlineLevel="0" collapsed="false">
      <c r="B7" s="20" t="s">
        <v>47</v>
      </c>
      <c r="C7" s="20"/>
      <c r="D7" s="21" t="s">
        <v>48</v>
      </c>
      <c r="E7" s="21"/>
      <c r="F7" s="20" t="s">
        <v>49</v>
      </c>
      <c r="G7" s="21" t="s">
        <v>50</v>
      </c>
      <c r="H7" s="21"/>
    </row>
    <row r="9" customFormat="false" ht="27.75" hidden="false" customHeight="true" outlineLevel="0" collapsed="false">
      <c r="B9" s="22" t="s">
        <v>51</v>
      </c>
      <c r="C9" s="22" t="s">
        <v>52</v>
      </c>
      <c r="D9" s="22" t="s">
        <v>53</v>
      </c>
      <c r="E9" s="22" t="s">
        <v>54</v>
      </c>
      <c r="F9" s="22" t="s">
        <v>55</v>
      </c>
      <c r="G9" s="22" t="s">
        <v>56</v>
      </c>
      <c r="H9" s="22" t="s">
        <v>57</v>
      </c>
    </row>
    <row r="10" customFormat="false" ht="25.5" hidden="false" customHeight="true" outlineLevel="0" collapsed="false">
      <c r="B10" s="23" t="s">
        <v>58</v>
      </c>
      <c r="C10" s="24" t="s">
        <v>59</v>
      </c>
      <c r="D10" s="24" t="s">
        <v>60</v>
      </c>
      <c r="E10" s="23" t="s">
        <v>61</v>
      </c>
      <c r="F10" s="24" t="s">
        <v>62</v>
      </c>
      <c r="G10" s="23" t="s">
        <v>63</v>
      </c>
      <c r="H10" s="23" t="s">
        <v>64</v>
      </c>
    </row>
    <row r="11" customFormat="false" ht="25.5" hidden="false" customHeight="true" outlineLevel="0" collapsed="false">
      <c r="B11" s="23" t="s">
        <v>65</v>
      </c>
      <c r="C11" s="24" t="s">
        <v>66</v>
      </c>
      <c r="D11" s="24" t="s">
        <v>67</v>
      </c>
      <c r="E11" s="23" t="s">
        <v>68</v>
      </c>
      <c r="F11" s="24" t="s">
        <v>69</v>
      </c>
      <c r="G11" s="23" t="s">
        <v>63</v>
      </c>
      <c r="H11" s="23" t="s">
        <v>70</v>
      </c>
    </row>
    <row r="12" customFormat="false" ht="25.5" hidden="false" customHeight="true" outlineLevel="0" collapsed="false">
      <c r="B12" s="23" t="s">
        <v>71</v>
      </c>
      <c r="C12" s="24" t="s">
        <v>72</v>
      </c>
      <c r="D12" s="24" t="s">
        <v>73</v>
      </c>
      <c r="E12" s="23" t="s">
        <v>74</v>
      </c>
      <c r="F12" s="24" t="s">
        <v>75</v>
      </c>
      <c r="G12" s="23" t="s">
        <v>63</v>
      </c>
      <c r="H12" s="23" t="s">
        <v>76</v>
      </c>
    </row>
    <row r="13" customFormat="false" ht="25.5" hidden="false" customHeight="true" outlineLevel="0" collapsed="false">
      <c r="B13" s="23" t="s">
        <v>77</v>
      </c>
      <c r="C13" s="24" t="s">
        <v>78</v>
      </c>
      <c r="D13" s="24" t="s">
        <v>79</v>
      </c>
      <c r="E13" s="23" t="s">
        <v>80</v>
      </c>
      <c r="F13" s="24" t="s">
        <v>81</v>
      </c>
      <c r="G13" s="23" t="s">
        <v>63</v>
      </c>
      <c r="H13" s="23" t="s">
        <v>82</v>
      </c>
    </row>
    <row r="14" customFormat="false" ht="21.75" hidden="false" customHeight="true" outlineLevel="0" collapsed="false">
      <c r="B14" s="25"/>
      <c r="C14" s="26"/>
      <c r="D14" s="26"/>
      <c r="E14" s="25"/>
      <c r="F14" s="26"/>
      <c r="G14" s="25"/>
      <c r="H14" s="25"/>
    </row>
    <row r="15" customFormat="false" ht="21.75" hidden="false" customHeight="true" outlineLevel="0" collapsed="false">
      <c r="B15" s="25"/>
      <c r="C15" s="26"/>
      <c r="D15" s="26"/>
      <c r="E15" s="25"/>
      <c r="F15" s="26"/>
      <c r="G15" s="25"/>
      <c r="H15" s="25"/>
    </row>
    <row r="16" customFormat="false" ht="21.75" hidden="false" customHeight="true" outlineLevel="0" collapsed="false">
      <c r="B16" s="25"/>
      <c r="C16" s="26"/>
      <c r="D16" s="26"/>
      <c r="E16" s="25"/>
      <c r="F16" s="26"/>
      <c r="G16" s="25"/>
      <c r="H16" s="25"/>
    </row>
    <row r="17" customFormat="false" ht="21.75" hidden="false" customHeight="true" outlineLevel="0" collapsed="false">
      <c r="B17" s="25"/>
      <c r="C17" s="26"/>
      <c r="D17" s="26"/>
      <c r="E17" s="25"/>
      <c r="F17" s="26"/>
      <c r="G17" s="25"/>
      <c r="H17" s="25"/>
    </row>
    <row r="18" customFormat="false" ht="21.75" hidden="false" customHeight="true" outlineLevel="0" collapsed="false">
      <c r="B18" s="25"/>
      <c r="C18" s="26"/>
      <c r="D18" s="26"/>
      <c r="E18" s="25"/>
      <c r="F18" s="26"/>
      <c r="G18" s="25"/>
      <c r="H18" s="25"/>
    </row>
    <row r="19" customFormat="false" ht="21.75" hidden="false" customHeight="true" outlineLevel="0" collapsed="false">
      <c r="B19" s="25"/>
      <c r="C19" s="26"/>
      <c r="D19" s="26"/>
      <c r="E19" s="25"/>
      <c r="F19" s="26"/>
      <c r="G19" s="25"/>
      <c r="H19" s="25"/>
    </row>
    <row r="20" customFormat="false" ht="21.75" hidden="false" customHeight="true" outlineLevel="0" collapsed="false">
      <c r="B20" s="25"/>
      <c r="C20" s="26"/>
      <c r="D20" s="26"/>
      <c r="E20" s="25"/>
      <c r="F20" s="26"/>
      <c r="G20" s="25"/>
      <c r="H20" s="25"/>
    </row>
    <row r="21" customFormat="false" ht="21.75" hidden="false" customHeight="true" outlineLevel="0" collapsed="false">
      <c r="B21" s="25"/>
      <c r="C21" s="26"/>
      <c r="D21" s="26"/>
      <c r="E21" s="25"/>
      <c r="F21" s="26"/>
      <c r="G21" s="25"/>
      <c r="H21" s="25"/>
    </row>
    <row r="22" customFormat="false" ht="21.75" hidden="false" customHeight="true" outlineLevel="0" collapsed="false">
      <c r="B22" s="25"/>
      <c r="C22" s="26"/>
      <c r="D22" s="26"/>
      <c r="E22" s="25"/>
      <c r="F22" s="26"/>
      <c r="G22" s="25"/>
      <c r="H22" s="25"/>
    </row>
    <row r="23" customFormat="false" ht="21.75" hidden="false" customHeight="true" outlineLevel="0" collapsed="false">
      <c r="B23" s="25"/>
      <c r="C23" s="26"/>
      <c r="D23" s="26"/>
      <c r="E23" s="25"/>
      <c r="F23" s="26"/>
      <c r="G23" s="25"/>
      <c r="H23" s="25"/>
    </row>
    <row r="24" customFormat="false" ht="21.75" hidden="false" customHeight="true" outlineLevel="0" collapsed="false">
      <c r="B24" s="25"/>
      <c r="C24" s="26"/>
      <c r="D24" s="26"/>
      <c r="E24" s="25"/>
      <c r="F24" s="26"/>
      <c r="G24" s="25"/>
      <c r="H24" s="25"/>
    </row>
    <row r="25" customFormat="false" ht="21.75" hidden="false" customHeight="true" outlineLevel="0" collapsed="false">
      <c r="B25" s="25"/>
      <c r="C25" s="26"/>
      <c r="D25" s="26"/>
      <c r="E25" s="25"/>
      <c r="F25" s="26"/>
      <c r="G25" s="25"/>
      <c r="H25" s="25"/>
    </row>
    <row r="26" customFormat="false" ht="21.75" hidden="false" customHeight="true" outlineLevel="0" collapsed="false">
      <c r="B26" s="25"/>
      <c r="C26" s="26"/>
      <c r="D26" s="26"/>
      <c r="E26" s="25"/>
      <c r="F26" s="26"/>
      <c r="G26" s="25"/>
      <c r="H26" s="25"/>
    </row>
    <row r="27" customFormat="false" ht="21.75" hidden="false" customHeight="true" outlineLevel="0" collapsed="false">
      <c r="B27" s="25"/>
      <c r="C27" s="26"/>
      <c r="D27" s="26"/>
      <c r="E27" s="25"/>
      <c r="F27" s="26"/>
      <c r="G27" s="25"/>
      <c r="H27" s="25"/>
    </row>
    <row r="28" customFormat="false" ht="21.75" hidden="false" customHeight="true" outlineLevel="0" collapsed="false">
      <c r="B28" s="25"/>
      <c r="C28" s="26"/>
      <c r="D28" s="26"/>
      <c r="E28" s="25"/>
      <c r="F28" s="26"/>
      <c r="G28" s="25"/>
      <c r="H28" s="25"/>
    </row>
    <row r="29" customFormat="false" ht="21.75" hidden="false" customHeight="true" outlineLevel="0" collapsed="false">
      <c r="B29" s="25"/>
      <c r="C29" s="26"/>
      <c r="D29" s="26"/>
      <c r="E29" s="25"/>
      <c r="F29" s="26"/>
      <c r="G29" s="25"/>
      <c r="H29" s="25"/>
    </row>
    <row r="31" customFormat="false" ht="36" hidden="false" customHeight="true" outlineLevel="0" collapsed="false">
      <c r="B31" s="16" t="s">
        <v>83</v>
      </c>
      <c r="C31" s="17" t="s">
        <v>84</v>
      </c>
      <c r="D31" s="17"/>
      <c r="E31" s="17"/>
      <c r="F31" s="17"/>
      <c r="G31" s="17"/>
      <c r="H31" s="17"/>
    </row>
  </sheetData>
  <mergeCells count="9">
    <mergeCell ref="B2:H2"/>
    <mergeCell ref="B3:H3"/>
    <mergeCell ref="B6:C6"/>
    <mergeCell ref="D6:E6"/>
    <mergeCell ref="G6:H6"/>
    <mergeCell ref="B7:C7"/>
    <mergeCell ref="D7:E7"/>
    <mergeCell ref="G7:H7"/>
    <mergeCell ref="C31:H31"/>
  </mergeCells>
  <printOptions headings="false" gridLines="false" gridLinesSet="true" horizontalCentered="true" verticalCentered="false"/>
  <pageMargins left="0.4" right="0.4" top="0.6" bottom="0.6" header="0.511811023622047" footer="0.3"/>
  <pageSetup paperSize="9" scale="100" fitToWidth="1" fitToHeight="0" pageOrder="downThenOver" orientation="landscape" blackAndWhite="false" draft="false" cellComments="none" horizontalDpi="300" verticalDpi="300" copies="1"/>
  <headerFooter differentFirst="false" differentOddEven="false">
    <oddHeader/>
    <oddFooter>&amp;C&amp;9 &amp;K888780M27 — Suivi assiduité alerte abandon  ·  &amp;A  ·  Page &amp;P /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X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
    <col collapsed="false" customWidth="true" hidden="false" outlineLevel="0" max="3" min="3" style="0" width="28"/>
    <col collapsed="false" customWidth="true" hidden="false" outlineLevel="0" max="23" min="4" style="0" width="6"/>
    <col collapsed="false" customWidth="true" hidden="false" outlineLevel="0" max="24" min="24" style="0" width="11"/>
    <col collapsed="false" customWidth="true" hidden="false" outlineLevel="0" max="25" min="25" style="0" width="2"/>
  </cols>
  <sheetData>
    <row r="2" customFormat="false" ht="30" hidden="false" customHeight="true" outlineLevel="0" collapsed="false">
      <c r="B2" s="18" t="s">
        <v>85</v>
      </c>
      <c r="C2" s="18"/>
      <c r="D2" s="18"/>
      <c r="E2" s="18"/>
      <c r="F2" s="18"/>
      <c r="G2" s="18"/>
      <c r="H2" s="18"/>
      <c r="I2" s="18"/>
      <c r="J2" s="18"/>
      <c r="K2" s="18"/>
      <c r="L2" s="18"/>
      <c r="M2" s="18"/>
      <c r="N2" s="18"/>
      <c r="O2" s="18"/>
      <c r="P2" s="18"/>
      <c r="Q2" s="18"/>
      <c r="R2" s="18"/>
      <c r="S2" s="18"/>
      <c r="T2" s="18"/>
      <c r="U2" s="18"/>
      <c r="V2" s="18"/>
      <c r="W2" s="18"/>
      <c r="X2" s="18"/>
    </row>
    <row r="3" customFormat="false" ht="19.5" hidden="false" customHeight="true" outlineLevel="0" collapsed="false">
      <c r="B3" s="19" t="s">
        <v>86</v>
      </c>
      <c r="C3" s="19"/>
      <c r="D3" s="19"/>
      <c r="E3" s="19"/>
      <c r="F3" s="19"/>
      <c r="G3" s="19"/>
      <c r="H3" s="19"/>
      <c r="I3" s="19"/>
      <c r="J3" s="19"/>
      <c r="K3" s="19"/>
      <c r="L3" s="19"/>
      <c r="M3" s="19"/>
      <c r="N3" s="19"/>
      <c r="O3" s="19"/>
      <c r="P3" s="19"/>
      <c r="Q3" s="19"/>
      <c r="R3" s="19"/>
      <c r="S3" s="19"/>
      <c r="T3" s="19"/>
      <c r="U3" s="19"/>
      <c r="V3" s="19"/>
      <c r="W3" s="19"/>
      <c r="X3" s="19"/>
    </row>
    <row r="4" customFormat="false" ht="6" hidden="false" customHeight="true" outlineLevel="0" collapsed="false">
      <c r="B4" s="3"/>
      <c r="C4" s="3"/>
      <c r="D4" s="3"/>
      <c r="E4" s="3"/>
      <c r="F4" s="3"/>
      <c r="G4" s="3"/>
      <c r="H4" s="3"/>
      <c r="I4" s="3"/>
      <c r="J4" s="3"/>
      <c r="K4" s="3"/>
      <c r="L4" s="3"/>
      <c r="M4" s="3"/>
      <c r="N4" s="3"/>
      <c r="O4" s="3"/>
      <c r="P4" s="3"/>
      <c r="Q4" s="3"/>
      <c r="R4" s="3"/>
      <c r="S4" s="3"/>
      <c r="T4" s="3"/>
      <c r="U4" s="3"/>
      <c r="V4" s="3"/>
      <c r="W4" s="3"/>
      <c r="X4" s="3"/>
    </row>
    <row r="5" customFormat="false" ht="18" hidden="false" customHeight="true" outlineLevel="0" collapsed="false">
      <c r="B5" s="27" t="s">
        <v>87</v>
      </c>
      <c r="C5" s="27"/>
      <c r="D5" s="27"/>
      <c r="E5" s="27"/>
      <c r="F5" s="27"/>
      <c r="G5" s="27"/>
      <c r="H5" s="27"/>
      <c r="I5" s="27"/>
      <c r="J5" s="27"/>
      <c r="K5" s="27"/>
      <c r="L5" s="27"/>
      <c r="M5" s="27"/>
      <c r="N5" s="27"/>
      <c r="O5" s="27"/>
      <c r="P5" s="27"/>
      <c r="Q5" s="27"/>
      <c r="R5" s="27"/>
      <c r="S5" s="27"/>
      <c r="T5" s="27"/>
      <c r="U5" s="27"/>
      <c r="V5" s="27"/>
      <c r="W5" s="27"/>
      <c r="X5" s="27"/>
    </row>
    <row r="7" customFormat="false" ht="21.75" hidden="false" customHeight="true" outlineLevel="0" collapsed="false">
      <c r="B7" s="22" t="s">
        <v>51</v>
      </c>
      <c r="C7" s="22" t="s">
        <v>88</v>
      </c>
      <c r="D7" s="22" t="s">
        <v>89</v>
      </c>
      <c r="E7" s="22"/>
      <c r="F7" s="22" t="s">
        <v>90</v>
      </c>
      <c r="G7" s="22"/>
      <c r="H7" s="22" t="s">
        <v>91</v>
      </c>
      <c r="I7" s="22"/>
      <c r="J7" s="22" t="s">
        <v>92</v>
      </c>
      <c r="K7" s="22"/>
      <c r="L7" s="22" t="s">
        <v>93</v>
      </c>
      <c r="M7" s="22"/>
      <c r="N7" s="22" t="s">
        <v>94</v>
      </c>
      <c r="O7" s="22"/>
      <c r="P7" s="22" t="s">
        <v>95</v>
      </c>
      <c r="Q7" s="22"/>
      <c r="R7" s="22" t="s">
        <v>96</v>
      </c>
      <c r="S7" s="22"/>
      <c r="T7" s="22" t="s">
        <v>97</v>
      </c>
      <c r="U7" s="22"/>
      <c r="V7" s="22" t="s">
        <v>98</v>
      </c>
      <c r="W7" s="22"/>
      <c r="X7" s="28" t="s">
        <v>99</v>
      </c>
    </row>
    <row r="8" customFormat="false" ht="21.75" hidden="false" customHeight="true" outlineLevel="0" collapsed="false">
      <c r="B8" s="22"/>
      <c r="C8" s="22"/>
      <c r="D8" s="28" t="s">
        <v>100</v>
      </c>
      <c r="E8" s="28" t="s">
        <v>101</v>
      </c>
      <c r="F8" s="28" t="s">
        <v>100</v>
      </c>
      <c r="G8" s="28" t="s">
        <v>101</v>
      </c>
      <c r="H8" s="28" t="s">
        <v>100</v>
      </c>
      <c r="I8" s="28" t="s">
        <v>101</v>
      </c>
      <c r="J8" s="28" t="s">
        <v>100</v>
      </c>
      <c r="K8" s="28" t="s">
        <v>101</v>
      </c>
      <c r="L8" s="28" t="s">
        <v>100</v>
      </c>
      <c r="M8" s="28" t="s">
        <v>101</v>
      </c>
      <c r="N8" s="28" t="s">
        <v>100</v>
      </c>
      <c r="O8" s="28" t="s">
        <v>101</v>
      </c>
      <c r="P8" s="28" t="s">
        <v>100</v>
      </c>
      <c r="Q8" s="28" t="s">
        <v>101</v>
      </c>
      <c r="R8" s="28" t="s">
        <v>100</v>
      </c>
      <c r="S8" s="28" t="s">
        <v>101</v>
      </c>
      <c r="T8" s="28" t="s">
        <v>100</v>
      </c>
      <c r="U8" s="28" t="s">
        <v>101</v>
      </c>
      <c r="V8" s="28" t="s">
        <v>100</v>
      </c>
      <c r="W8" s="28" t="s">
        <v>101</v>
      </c>
      <c r="X8" s="28"/>
    </row>
    <row r="9" customFormat="false" ht="24" hidden="false" customHeight="true" outlineLevel="0" collapsed="false">
      <c r="B9" s="29" t="str">
        <f aca="false">IF('👥 Bénéficiaires'!B10="","",'👥 Bénéficiaires'!B10)</f>
        <v>01</v>
      </c>
      <c r="C9" s="30" t="str">
        <f aca="false">IF('👥 Bénéficiaires'!C10="","",'👥 Bénéficiaires'!C10&amp;" "&amp;'👥 Bénéficiaires'!D10)</f>
        <v>DUPONT Marie</v>
      </c>
      <c r="D9" s="31" t="s">
        <v>16</v>
      </c>
      <c r="E9" s="31" t="s">
        <v>16</v>
      </c>
      <c r="F9" s="31" t="s">
        <v>16</v>
      </c>
      <c r="G9" s="31" t="s">
        <v>16</v>
      </c>
      <c r="H9" s="31" t="s">
        <v>16</v>
      </c>
      <c r="I9" s="31" t="s">
        <v>16</v>
      </c>
      <c r="J9" s="31" t="s">
        <v>18</v>
      </c>
      <c r="K9" s="31" t="s">
        <v>16</v>
      </c>
      <c r="L9" s="31" t="s">
        <v>16</v>
      </c>
      <c r="M9" s="31" t="s">
        <v>16</v>
      </c>
      <c r="N9" s="31" t="s">
        <v>16</v>
      </c>
      <c r="O9" s="31" t="s">
        <v>16</v>
      </c>
      <c r="P9" s="31" t="s">
        <v>20</v>
      </c>
      <c r="Q9" s="31" t="s">
        <v>20</v>
      </c>
      <c r="R9" s="31" t="s">
        <v>16</v>
      </c>
      <c r="S9" s="31" t="s">
        <v>16</v>
      </c>
      <c r="T9" s="31" t="s">
        <v>16</v>
      </c>
      <c r="U9" s="31" t="s">
        <v>16</v>
      </c>
      <c r="V9" s="31" t="s">
        <v>16</v>
      </c>
      <c r="W9" s="31" t="s">
        <v>16</v>
      </c>
      <c r="X9" s="32" t="n">
        <f aca="false">IF(C9="","",COUNTIF(D9:W9,"P")+COUNTIF(D9:W9,"R")+COUNTIF(D9:W9,"FOAD"))</f>
        <v>20</v>
      </c>
    </row>
    <row r="10" customFormat="false" ht="24" hidden="false" customHeight="true" outlineLevel="0" collapsed="false">
      <c r="B10" s="29" t="str">
        <f aca="false">IF('👥 Bénéficiaires'!B11="","",'👥 Bénéficiaires'!B11)</f>
        <v>02</v>
      </c>
      <c r="C10" s="30" t="str">
        <f aca="false">IF('👥 Bénéficiaires'!C11="","",'👥 Bénéficiaires'!C11&amp;" "&amp;'👥 Bénéficiaires'!D11)</f>
        <v>MARTIN Karim</v>
      </c>
      <c r="D10" s="31" t="s">
        <v>16</v>
      </c>
      <c r="E10" s="31" t="s">
        <v>16</v>
      </c>
      <c r="F10" s="31" t="s">
        <v>16</v>
      </c>
      <c r="G10" s="31" t="s">
        <v>22</v>
      </c>
      <c r="H10" s="31" t="s">
        <v>22</v>
      </c>
      <c r="I10" s="31" t="s">
        <v>16</v>
      </c>
      <c r="J10" s="31" t="s">
        <v>16</v>
      </c>
      <c r="K10" s="31" t="s">
        <v>16</v>
      </c>
      <c r="L10" s="31" t="s">
        <v>16</v>
      </c>
      <c r="M10" s="31" t="s">
        <v>16</v>
      </c>
      <c r="N10" s="31" t="s">
        <v>16</v>
      </c>
      <c r="O10" s="31" t="s">
        <v>16</v>
      </c>
      <c r="P10" s="31" t="s">
        <v>16</v>
      </c>
      <c r="Q10" s="31" t="s">
        <v>16</v>
      </c>
      <c r="R10" s="31" t="s">
        <v>16</v>
      </c>
      <c r="S10" s="31" t="s">
        <v>16</v>
      </c>
      <c r="T10" s="31" t="s">
        <v>16</v>
      </c>
      <c r="U10" s="31" t="s">
        <v>16</v>
      </c>
      <c r="V10" s="31" t="s">
        <v>16</v>
      </c>
      <c r="W10" s="31" t="s">
        <v>16</v>
      </c>
      <c r="X10" s="32" t="n">
        <f aca="false">IF(C10="","",COUNTIF(D10:W10,"P")+COUNTIF(D10:W10,"R")+COUNTIF(D10:W10,"FOAD"))</f>
        <v>18</v>
      </c>
    </row>
    <row r="11" customFormat="false" ht="24" hidden="false" customHeight="true" outlineLevel="0" collapsed="false">
      <c r="B11" s="29" t="str">
        <f aca="false">IF('👥 Bénéficiaires'!B12="","",'👥 Bénéficiaires'!B12)</f>
        <v>03</v>
      </c>
      <c r="C11" s="30" t="str">
        <f aca="false">IF('👥 Bénéficiaires'!C12="","",'👥 Bénéficiaires'!C12&amp;" "&amp;'👥 Bénéficiaires'!D12)</f>
        <v>BERNARD Sophie</v>
      </c>
      <c r="D11" s="31" t="s">
        <v>16</v>
      </c>
      <c r="E11" s="31" t="s">
        <v>16</v>
      </c>
      <c r="F11" s="31" t="s">
        <v>24</v>
      </c>
      <c r="G11" s="31" t="s">
        <v>24</v>
      </c>
      <c r="H11" s="31" t="s">
        <v>16</v>
      </c>
      <c r="I11" s="31" t="s">
        <v>16</v>
      </c>
      <c r="J11" s="31" t="s">
        <v>16</v>
      </c>
      <c r="K11" s="31" t="s">
        <v>24</v>
      </c>
      <c r="L11" s="31" t="s">
        <v>16</v>
      </c>
      <c r="M11" s="31" t="s">
        <v>16</v>
      </c>
      <c r="N11" s="31" t="s">
        <v>20</v>
      </c>
      <c r="O11" s="31" t="s">
        <v>20</v>
      </c>
      <c r="P11" s="31" t="s">
        <v>24</v>
      </c>
      <c r="Q11" s="31" t="s">
        <v>16</v>
      </c>
      <c r="R11" s="31" t="s">
        <v>16</v>
      </c>
      <c r="S11" s="31" t="s">
        <v>16</v>
      </c>
      <c r="T11" s="31" t="s">
        <v>16</v>
      </c>
      <c r="U11" s="31" t="s">
        <v>16</v>
      </c>
      <c r="V11" s="31" t="s">
        <v>16</v>
      </c>
      <c r="W11" s="31" t="s">
        <v>16</v>
      </c>
      <c r="X11" s="32" t="n">
        <f aca="false">IF(C11="","",COUNTIF(D11:W11,"P")+COUNTIF(D11:W11,"R")+COUNTIF(D11:W11,"FOAD"))</f>
        <v>16</v>
      </c>
    </row>
    <row r="12" customFormat="false" ht="24" hidden="false" customHeight="true" outlineLevel="0" collapsed="false">
      <c r="B12" s="29" t="str">
        <f aca="false">IF('👥 Bénéficiaires'!B13="","",'👥 Bénéficiaires'!B13)</f>
        <v>04</v>
      </c>
      <c r="C12" s="30" t="str">
        <f aca="false">IF('👥 Bénéficiaires'!C13="","",'👥 Bénéficiaires'!C13&amp;" "&amp;'👥 Bénéficiaires'!D13)</f>
        <v>LEROY Thomas</v>
      </c>
      <c r="D12" s="31" t="s">
        <v>16</v>
      </c>
      <c r="E12" s="31" t="s">
        <v>16</v>
      </c>
      <c r="F12" s="31" t="s">
        <v>16</v>
      </c>
      <c r="G12" s="31" t="s">
        <v>16</v>
      </c>
      <c r="H12" s="31" t="s">
        <v>16</v>
      </c>
      <c r="I12" s="31" t="s">
        <v>16</v>
      </c>
      <c r="J12" s="31" t="s">
        <v>16</v>
      </c>
      <c r="K12" s="31" t="s">
        <v>24</v>
      </c>
      <c r="L12" s="31" t="s">
        <v>26</v>
      </c>
      <c r="M12" s="31" t="s">
        <v>26</v>
      </c>
      <c r="N12" s="31" t="s">
        <v>26</v>
      </c>
      <c r="O12" s="31" t="s">
        <v>26</v>
      </c>
      <c r="P12" s="31" t="s">
        <v>26</v>
      </c>
      <c r="Q12" s="31" t="s">
        <v>26</v>
      </c>
      <c r="R12" s="31" t="s">
        <v>26</v>
      </c>
      <c r="S12" s="31" t="s">
        <v>26</v>
      </c>
      <c r="T12" s="31" t="s">
        <v>26</v>
      </c>
      <c r="U12" s="31" t="s">
        <v>26</v>
      </c>
      <c r="V12" s="31" t="s">
        <v>26</v>
      </c>
      <c r="W12" s="31" t="s">
        <v>26</v>
      </c>
      <c r="X12" s="32" t="n">
        <f aca="false">IF(C12="","",COUNTIF(D12:W12,"P")+COUNTIF(D12:W12,"R")+COUNTIF(D12:W12,"FOAD"))</f>
        <v>7</v>
      </c>
    </row>
    <row r="13" customFormat="false" ht="24" hidden="false" customHeight="true" outlineLevel="0" collapsed="false">
      <c r="B13" s="29" t="str">
        <f aca="false">IF('👥 Bénéficiaires'!B14="","",'👥 Bénéficiaires'!B14)</f>
        <v/>
      </c>
      <c r="C13" s="30" t="str">
        <f aca="false">IF('👥 Bénéficiaires'!C14="","",'👥 Bénéficiaires'!C14&amp;" "&amp;'👥 Bénéficiaires'!D14)</f>
        <v/>
      </c>
      <c r="D13" s="33"/>
      <c r="E13" s="33"/>
      <c r="F13" s="33"/>
      <c r="G13" s="33"/>
      <c r="H13" s="33"/>
      <c r="I13" s="33"/>
      <c r="J13" s="33"/>
      <c r="K13" s="33"/>
      <c r="L13" s="33"/>
      <c r="M13" s="33"/>
      <c r="N13" s="33"/>
      <c r="O13" s="33"/>
      <c r="P13" s="33"/>
      <c r="Q13" s="33"/>
      <c r="R13" s="33"/>
      <c r="S13" s="33"/>
      <c r="T13" s="33"/>
      <c r="U13" s="33"/>
      <c r="V13" s="33"/>
      <c r="W13" s="33"/>
      <c r="X13" s="32" t="str">
        <f aca="false">IF(C13="","",COUNTIF(D13:W13,"P")+COUNTIF(D13:W13,"R")+COUNTIF(D13:W13,"FOAD"))</f>
        <v/>
      </c>
    </row>
    <row r="14" customFormat="false" ht="24" hidden="false" customHeight="true" outlineLevel="0" collapsed="false">
      <c r="B14" s="29" t="str">
        <f aca="false">IF('👥 Bénéficiaires'!B15="","",'👥 Bénéficiaires'!B15)</f>
        <v/>
      </c>
      <c r="C14" s="30" t="str">
        <f aca="false">IF('👥 Bénéficiaires'!C15="","",'👥 Bénéficiaires'!C15&amp;" "&amp;'👥 Bénéficiaires'!D15)</f>
        <v/>
      </c>
      <c r="D14" s="33"/>
      <c r="E14" s="33"/>
      <c r="F14" s="33"/>
      <c r="G14" s="33"/>
      <c r="H14" s="33"/>
      <c r="I14" s="33"/>
      <c r="J14" s="33"/>
      <c r="K14" s="33"/>
      <c r="L14" s="33"/>
      <c r="M14" s="33"/>
      <c r="N14" s="33"/>
      <c r="O14" s="33"/>
      <c r="P14" s="33"/>
      <c r="Q14" s="33"/>
      <c r="R14" s="33"/>
      <c r="S14" s="33"/>
      <c r="T14" s="33"/>
      <c r="U14" s="33"/>
      <c r="V14" s="33"/>
      <c r="W14" s="33"/>
      <c r="X14" s="32" t="str">
        <f aca="false">IF(C14="","",COUNTIF(D14:W14,"P")+COUNTIF(D14:W14,"R")+COUNTIF(D14:W14,"FOAD"))</f>
        <v/>
      </c>
    </row>
    <row r="15" customFormat="false" ht="24" hidden="false" customHeight="true" outlineLevel="0" collapsed="false">
      <c r="B15" s="29" t="str">
        <f aca="false">IF('👥 Bénéficiaires'!B16="","",'👥 Bénéficiaires'!B16)</f>
        <v/>
      </c>
      <c r="C15" s="30" t="str">
        <f aca="false">IF('👥 Bénéficiaires'!C16="","",'👥 Bénéficiaires'!C16&amp;" "&amp;'👥 Bénéficiaires'!D16)</f>
        <v/>
      </c>
      <c r="D15" s="33"/>
      <c r="E15" s="33"/>
      <c r="F15" s="33"/>
      <c r="G15" s="33"/>
      <c r="H15" s="33"/>
      <c r="I15" s="33"/>
      <c r="J15" s="33"/>
      <c r="K15" s="33"/>
      <c r="L15" s="33"/>
      <c r="M15" s="33"/>
      <c r="N15" s="33"/>
      <c r="O15" s="33"/>
      <c r="P15" s="33"/>
      <c r="Q15" s="33"/>
      <c r="R15" s="33"/>
      <c r="S15" s="33"/>
      <c r="T15" s="33"/>
      <c r="U15" s="33"/>
      <c r="V15" s="33"/>
      <c r="W15" s="33"/>
      <c r="X15" s="32" t="str">
        <f aca="false">IF(C15="","",COUNTIF(D15:W15,"P")+COUNTIF(D15:W15,"R")+COUNTIF(D15:W15,"FOAD"))</f>
        <v/>
      </c>
    </row>
    <row r="16" customFormat="false" ht="24" hidden="false" customHeight="true" outlineLevel="0" collapsed="false">
      <c r="B16" s="29" t="str">
        <f aca="false">IF('👥 Bénéficiaires'!B17="","",'👥 Bénéficiaires'!B17)</f>
        <v/>
      </c>
      <c r="C16" s="30" t="str">
        <f aca="false">IF('👥 Bénéficiaires'!C17="","",'👥 Bénéficiaires'!C17&amp;" "&amp;'👥 Bénéficiaires'!D17)</f>
        <v/>
      </c>
      <c r="D16" s="33"/>
      <c r="E16" s="33"/>
      <c r="F16" s="33"/>
      <c r="G16" s="33"/>
      <c r="H16" s="33"/>
      <c r="I16" s="33"/>
      <c r="J16" s="33"/>
      <c r="K16" s="33"/>
      <c r="L16" s="33"/>
      <c r="M16" s="33"/>
      <c r="N16" s="33"/>
      <c r="O16" s="33"/>
      <c r="P16" s="33"/>
      <c r="Q16" s="33"/>
      <c r="R16" s="33"/>
      <c r="S16" s="33"/>
      <c r="T16" s="33"/>
      <c r="U16" s="33"/>
      <c r="V16" s="33"/>
      <c r="W16" s="33"/>
      <c r="X16" s="32" t="str">
        <f aca="false">IF(C16="","",COUNTIF(D16:W16,"P")+COUNTIF(D16:W16,"R")+COUNTIF(D16:W16,"FOAD"))</f>
        <v/>
      </c>
    </row>
    <row r="17" customFormat="false" ht="24" hidden="false" customHeight="true" outlineLevel="0" collapsed="false">
      <c r="B17" s="29" t="str">
        <f aca="false">IF('👥 Bénéficiaires'!B18="","",'👥 Bénéficiaires'!B18)</f>
        <v/>
      </c>
      <c r="C17" s="30" t="str">
        <f aca="false">IF('👥 Bénéficiaires'!C18="","",'👥 Bénéficiaires'!C18&amp;" "&amp;'👥 Bénéficiaires'!D18)</f>
        <v/>
      </c>
      <c r="D17" s="33"/>
      <c r="E17" s="33"/>
      <c r="F17" s="33"/>
      <c r="G17" s="33"/>
      <c r="H17" s="33"/>
      <c r="I17" s="33"/>
      <c r="J17" s="33"/>
      <c r="K17" s="33"/>
      <c r="L17" s="33"/>
      <c r="M17" s="33"/>
      <c r="N17" s="33"/>
      <c r="O17" s="33"/>
      <c r="P17" s="33"/>
      <c r="Q17" s="33"/>
      <c r="R17" s="33"/>
      <c r="S17" s="33"/>
      <c r="T17" s="33"/>
      <c r="U17" s="33"/>
      <c r="V17" s="33"/>
      <c r="W17" s="33"/>
      <c r="X17" s="32" t="str">
        <f aca="false">IF(C17="","",COUNTIF(D17:W17,"P")+COUNTIF(D17:W17,"R")+COUNTIF(D17:W17,"FOAD"))</f>
        <v/>
      </c>
    </row>
    <row r="18" customFormat="false" ht="24" hidden="false" customHeight="true" outlineLevel="0" collapsed="false">
      <c r="B18" s="29" t="str">
        <f aca="false">IF('👥 Bénéficiaires'!B19="","",'👥 Bénéficiaires'!B19)</f>
        <v/>
      </c>
      <c r="C18" s="30" t="str">
        <f aca="false">IF('👥 Bénéficiaires'!C19="","",'👥 Bénéficiaires'!C19&amp;" "&amp;'👥 Bénéficiaires'!D19)</f>
        <v/>
      </c>
      <c r="D18" s="33"/>
      <c r="E18" s="33"/>
      <c r="F18" s="33"/>
      <c r="G18" s="33"/>
      <c r="H18" s="33"/>
      <c r="I18" s="33"/>
      <c r="J18" s="33"/>
      <c r="K18" s="33"/>
      <c r="L18" s="33"/>
      <c r="M18" s="33"/>
      <c r="N18" s="33"/>
      <c r="O18" s="33"/>
      <c r="P18" s="33"/>
      <c r="Q18" s="33"/>
      <c r="R18" s="33"/>
      <c r="S18" s="33"/>
      <c r="T18" s="33"/>
      <c r="U18" s="33"/>
      <c r="V18" s="33"/>
      <c r="W18" s="33"/>
      <c r="X18" s="32" t="str">
        <f aca="false">IF(C18="","",COUNTIF(D18:W18,"P")+COUNTIF(D18:W18,"R")+COUNTIF(D18:W18,"FOAD"))</f>
        <v/>
      </c>
    </row>
    <row r="19" customFormat="false" ht="24" hidden="false" customHeight="true" outlineLevel="0" collapsed="false">
      <c r="B19" s="29" t="str">
        <f aca="false">IF('👥 Bénéficiaires'!B20="","",'👥 Bénéficiaires'!B20)</f>
        <v/>
      </c>
      <c r="C19" s="30" t="str">
        <f aca="false">IF('👥 Bénéficiaires'!C20="","",'👥 Bénéficiaires'!C20&amp;" "&amp;'👥 Bénéficiaires'!D20)</f>
        <v/>
      </c>
      <c r="D19" s="33"/>
      <c r="E19" s="33"/>
      <c r="F19" s="33"/>
      <c r="G19" s="33"/>
      <c r="H19" s="33"/>
      <c r="I19" s="33"/>
      <c r="J19" s="33"/>
      <c r="K19" s="33"/>
      <c r="L19" s="33"/>
      <c r="M19" s="33"/>
      <c r="N19" s="33"/>
      <c r="O19" s="33"/>
      <c r="P19" s="33"/>
      <c r="Q19" s="33"/>
      <c r="R19" s="33"/>
      <c r="S19" s="33"/>
      <c r="T19" s="33"/>
      <c r="U19" s="33"/>
      <c r="V19" s="33"/>
      <c r="W19" s="33"/>
      <c r="X19" s="32" t="str">
        <f aca="false">IF(C19="","",COUNTIF(D19:W19,"P")+COUNTIF(D19:W19,"R")+COUNTIF(D19:W19,"FOAD"))</f>
        <v/>
      </c>
    </row>
    <row r="20" customFormat="false" ht="24" hidden="false" customHeight="true" outlineLevel="0" collapsed="false">
      <c r="B20" s="29" t="str">
        <f aca="false">IF('👥 Bénéficiaires'!B21="","",'👥 Bénéficiaires'!B21)</f>
        <v/>
      </c>
      <c r="C20" s="30" t="str">
        <f aca="false">IF('👥 Bénéficiaires'!C21="","",'👥 Bénéficiaires'!C21&amp;" "&amp;'👥 Bénéficiaires'!D21)</f>
        <v/>
      </c>
      <c r="D20" s="33"/>
      <c r="E20" s="33"/>
      <c r="F20" s="33"/>
      <c r="G20" s="33"/>
      <c r="H20" s="33"/>
      <c r="I20" s="33"/>
      <c r="J20" s="33"/>
      <c r="K20" s="33"/>
      <c r="L20" s="33"/>
      <c r="M20" s="33"/>
      <c r="N20" s="33"/>
      <c r="O20" s="33"/>
      <c r="P20" s="33"/>
      <c r="Q20" s="33"/>
      <c r="R20" s="33"/>
      <c r="S20" s="33"/>
      <c r="T20" s="33"/>
      <c r="U20" s="33"/>
      <c r="V20" s="33"/>
      <c r="W20" s="33"/>
      <c r="X20" s="32" t="str">
        <f aca="false">IF(C20="","",COUNTIF(D20:W20,"P")+COUNTIF(D20:W20,"R")+COUNTIF(D20:W20,"FOAD"))</f>
        <v/>
      </c>
    </row>
    <row r="21" customFormat="false" ht="24" hidden="false" customHeight="true" outlineLevel="0" collapsed="false">
      <c r="B21" s="29" t="str">
        <f aca="false">IF('👥 Bénéficiaires'!B22="","",'👥 Bénéficiaires'!B22)</f>
        <v/>
      </c>
      <c r="C21" s="30" t="str">
        <f aca="false">IF('👥 Bénéficiaires'!C22="","",'👥 Bénéficiaires'!C22&amp;" "&amp;'👥 Bénéficiaires'!D22)</f>
        <v/>
      </c>
      <c r="D21" s="33"/>
      <c r="E21" s="33"/>
      <c r="F21" s="33"/>
      <c r="G21" s="33"/>
      <c r="H21" s="33"/>
      <c r="I21" s="33"/>
      <c r="J21" s="33"/>
      <c r="K21" s="33"/>
      <c r="L21" s="33"/>
      <c r="M21" s="33"/>
      <c r="N21" s="33"/>
      <c r="O21" s="33"/>
      <c r="P21" s="33"/>
      <c r="Q21" s="33"/>
      <c r="R21" s="33"/>
      <c r="S21" s="33"/>
      <c r="T21" s="33"/>
      <c r="U21" s="33"/>
      <c r="V21" s="33"/>
      <c r="W21" s="33"/>
      <c r="X21" s="32" t="str">
        <f aca="false">IF(C21="","",COUNTIF(D21:W21,"P")+COUNTIF(D21:W21,"R")+COUNTIF(D21:W21,"FOAD"))</f>
        <v/>
      </c>
    </row>
    <row r="22" customFormat="false" ht="24" hidden="false" customHeight="true" outlineLevel="0" collapsed="false">
      <c r="B22" s="29" t="str">
        <f aca="false">IF('👥 Bénéficiaires'!B23="","",'👥 Bénéficiaires'!B23)</f>
        <v/>
      </c>
      <c r="C22" s="30" t="str">
        <f aca="false">IF('👥 Bénéficiaires'!C23="","",'👥 Bénéficiaires'!C23&amp;" "&amp;'👥 Bénéficiaires'!D23)</f>
        <v/>
      </c>
      <c r="D22" s="33"/>
      <c r="E22" s="33"/>
      <c r="F22" s="33"/>
      <c r="G22" s="33"/>
      <c r="H22" s="33"/>
      <c r="I22" s="33"/>
      <c r="J22" s="33"/>
      <c r="K22" s="33"/>
      <c r="L22" s="33"/>
      <c r="M22" s="33"/>
      <c r="N22" s="33"/>
      <c r="O22" s="33"/>
      <c r="P22" s="33"/>
      <c r="Q22" s="33"/>
      <c r="R22" s="33"/>
      <c r="S22" s="33"/>
      <c r="T22" s="33"/>
      <c r="U22" s="33"/>
      <c r="V22" s="33"/>
      <c r="W22" s="33"/>
      <c r="X22" s="32" t="str">
        <f aca="false">IF(C22="","",COUNTIF(D22:W22,"P")+COUNTIF(D22:W22,"R")+COUNTIF(D22:W22,"FOAD"))</f>
        <v/>
      </c>
    </row>
    <row r="23" customFormat="false" ht="24" hidden="false" customHeight="true" outlineLevel="0" collapsed="false">
      <c r="B23" s="29" t="str">
        <f aca="false">IF('👥 Bénéficiaires'!B24="","",'👥 Bénéficiaires'!B24)</f>
        <v/>
      </c>
      <c r="C23" s="30" t="str">
        <f aca="false">IF('👥 Bénéficiaires'!C24="","",'👥 Bénéficiaires'!C24&amp;" "&amp;'👥 Bénéficiaires'!D24)</f>
        <v/>
      </c>
      <c r="D23" s="33"/>
      <c r="E23" s="33"/>
      <c r="F23" s="33"/>
      <c r="G23" s="33"/>
      <c r="H23" s="33"/>
      <c r="I23" s="33"/>
      <c r="J23" s="33"/>
      <c r="K23" s="33"/>
      <c r="L23" s="33"/>
      <c r="M23" s="33"/>
      <c r="N23" s="33"/>
      <c r="O23" s="33"/>
      <c r="P23" s="33"/>
      <c r="Q23" s="33"/>
      <c r="R23" s="33"/>
      <c r="S23" s="33"/>
      <c r="T23" s="33"/>
      <c r="U23" s="33"/>
      <c r="V23" s="33"/>
      <c r="W23" s="33"/>
      <c r="X23" s="32" t="str">
        <f aca="false">IF(C23="","",COUNTIF(D23:W23,"P")+COUNTIF(D23:W23,"R")+COUNTIF(D23:W23,"FOAD"))</f>
        <v/>
      </c>
    </row>
    <row r="24" customFormat="false" ht="24" hidden="false" customHeight="true" outlineLevel="0" collapsed="false">
      <c r="B24" s="29" t="str">
        <f aca="false">IF('👥 Bénéficiaires'!B25="","",'👥 Bénéficiaires'!B25)</f>
        <v/>
      </c>
      <c r="C24" s="30" t="str">
        <f aca="false">IF('👥 Bénéficiaires'!C25="","",'👥 Bénéficiaires'!C25&amp;" "&amp;'👥 Bénéficiaires'!D25)</f>
        <v/>
      </c>
      <c r="D24" s="33"/>
      <c r="E24" s="33"/>
      <c r="F24" s="33"/>
      <c r="G24" s="33"/>
      <c r="H24" s="33"/>
      <c r="I24" s="33"/>
      <c r="J24" s="33"/>
      <c r="K24" s="33"/>
      <c r="L24" s="33"/>
      <c r="M24" s="33"/>
      <c r="N24" s="33"/>
      <c r="O24" s="33"/>
      <c r="P24" s="33"/>
      <c r="Q24" s="33"/>
      <c r="R24" s="33"/>
      <c r="S24" s="33"/>
      <c r="T24" s="33"/>
      <c r="U24" s="33"/>
      <c r="V24" s="33"/>
      <c r="W24" s="33"/>
      <c r="X24" s="32" t="str">
        <f aca="false">IF(C24="","",COUNTIF(D24:W24,"P")+COUNTIF(D24:W24,"R")+COUNTIF(D24:W24,"FOAD"))</f>
        <v/>
      </c>
    </row>
    <row r="25" customFormat="false" ht="24" hidden="false" customHeight="true" outlineLevel="0" collapsed="false">
      <c r="B25" s="29" t="str">
        <f aca="false">IF('👥 Bénéficiaires'!B26="","",'👥 Bénéficiaires'!B26)</f>
        <v/>
      </c>
      <c r="C25" s="30" t="str">
        <f aca="false">IF('👥 Bénéficiaires'!C26="","",'👥 Bénéficiaires'!C26&amp;" "&amp;'👥 Bénéficiaires'!D26)</f>
        <v/>
      </c>
      <c r="D25" s="33"/>
      <c r="E25" s="33"/>
      <c r="F25" s="33"/>
      <c r="G25" s="33"/>
      <c r="H25" s="33"/>
      <c r="I25" s="33"/>
      <c r="J25" s="33"/>
      <c r="K25" s="33"/>
      <c r="L25" s="33"/>
      <c r="M25" s="33"/>
      <c r="N25" s="33"/>
      <c r="O25" s="33"/>
      <c r="P25" s="33"/>
      <c r="Q25" s="33"/>
      <c r="R25" s="33"/>
      <c r="S25" s="33"/>
      <c r="T25" s="33"/>
      <c r="U25" s="33"/>
      <c r="V25" s="33"/>
      <c r="W25" s="33"/>
      <c r="X25" s="32" t="str">
        <f aca="false">IF(C25="","",COUNTIF(D25:W25,"P")+COUNTIF(D25:W25,"R")+COUNTIF(D25:W25,"FOAD"))</f>
        <v/>
      </c>
    </row>
    <row r="26" customFormat="false" ht="24" hidden="false" customHeight="true" outlineLevel="0" collapsed="false">
      <c r="B26" s="29" t="str">
        <f aca="false">IF('👥 Bénéficiaires'!B27="","",'👥 Bénéficiaires'!B27)</f>
        <v/>
      </c>
      <c r="C26" s="30" t="str">
        <f aca="false">IF('👥 Bénéficiaires'!C27="","",'👥 Bénéficiaires'!C27&amp;" "&amp;'👥 Bénéficiaires'!D27)</f>
        <v/>
      </c>
      <c r="D26" s="33"/>
      <c r="E26" s="33"/>
      <c r="F26" s="33"/>
      <c r="G26" s="33"/>
      <c r="H26" s="33"/>
      <c r="I26" s="33"/>
      <c r="J26" s="33"/>
      <c r="K26" s="33"/>
      <c r="L26" s="33"/>
      <c r="M26" s="33"/>
      <c r="N26" s="33"/>
      <c r="O26" s="33"/>
      <c r="P26" s="33"/>
      <c r="Q26" s="33"/>
      <c r="R26" s="33"/>
      <c r="S26" s="33"/>
      <c r="T26" s="33"/>
      <c r="U26" s="33"/>
      <c r="V26" s="33"/>
      <c r="W26" s="33"/>
      <c r="X26" s="32" t="str">
        <f aca="false">IF(C26="","",COUNTIF(D26:W26,"P")+COUNTIF(D26:W26,"R")+COUNTIF(D26:W26,"FOAD"))</f>
        <v/>
      </c>
    </row>
    <row r="27" customFormat="false" ht="24" hidden="false" customHeight="true" outlineLevel="0" collapsed="false">
      <c r="B27" s="29" t="str">
        <f aca="false">IF('👥 Bénéficiaires'!B28="","",'👥 Bénéficiaires'!B28)</f>
        <v/>
      </c>
      <c r="C27" s="30" t="str">
        <f aca="false">IF('👥 Bénéficiaires'!C28="","",'👥 Bénéficiaires'!C28&amp;" "&amp;'👥 Bénéficiaires'!D28)</f>
        <v/>
      </c>
      <c r="D27" s="33"/>
      <c r="E27" s="33"/>
      <c r="F27" s="33"/>
      <c r="G27" s="33"/>
      <c r="H27" s="33"/>
      <c r="I27" s="33"/>
      <c r="J27" s="33"/>
      <c r="K27" s="33"/>
      <c r="L27" s="33"/>
      <c r="M27" s="33"/>
      <c r="N27" s="33"/>
      <c r="O27" s="33"/>
      <c r="P27" s="33"/>
      <c r="Q27" s="33"/>
      <c r="R27" s="33"/>
      <c r="S27" s="33"/>
      <c r="T27" s="33"/>
      <c r="U27" s="33"/>
      <c r="V27" s="33"/>
      <c r="W27" s="33"/>
      <c r="X27" s="32" t="str">
        <f aca="false">IF(C27="","",COUNTIF(D27:W27,"P")+COUNTIF(D27:W27,"R")+COUNTIF(D27:W27,"FOAD"))</f>
        <v/>
      </c>
    </row>
    <row r="28" customFormat="false" ht="24" hidden="false" customHeight="true" outlineLevel="0" collapsed="false">
      <c r="B28" s="29" t="str">
        <f aca="false">IF('👥 Bénéficiaires'!B29="","",'👥 Bénéficiaires'!B29)</f>
        <v/>
      </c>
      <c r="C28" s="30" t="str">
        <f aca="false">IF('👥 Bénéficiaires'!C29="","",'👥 Bénéficiaires'!C29&amp;" "&amp;'👥 Bénéficiaires'!D29)</f>
        <v/>
      </c>
      <c r="D28" s="33"/>
      <c r="E28" s="33"/>
      <c r="F28" s="33"/>
      <c r="G28" s="33"/>
      <c r="H28" s="33"/>
      <c r="I28" s="33"/>
      <c r="J28" s="33"/>
      <c r="K28" s="33"/>
      <c r="L28" s="33"/>
      <c r="M28" s="33"/>
      <c r="N28" s="33"/>
      <c r="O28" s="33"/>
      <c r="P28" s="33"/>
      <c r="Q28" s="33"/>
      <c r="R28" s="33"/>
      <c r="S28" s="33"/>
      <c r="T28" s="33"/>
      <c r="U28" s="33"/>
      <c r="V28" s="33"/>
      <c r="W28" s="33"/>
      <c r="X28" s="32" t="str">
        <f aca="false">IF(C28="","",COUNTIF(D28:W28,"P")+COUNTIF(D28:W28,"R")+COUNTIF(D28:W28,"FOAD"))</f>
        <v/>
      </c>
    </row>
    <row r="30" customFormat="false" ht="49.5" hidden="false" customHeight="true" outlineLevel="0" collapsed="false">
      <c r="B30" s="16" t="s">
        <v>102</v>
      </c>
      <c r="C30" s="17" t="s">
        <v>103</v>
      </c>
      <c r="D30" s="17"/>
      <c r="E30" s="17"/>
      <c r="F30" s="17"/>
      <c r="G30" s="17"/>
      <c r="H30" s="17"/>
      <c r="I30" s="17"/>
      <c r="J30" s="17"/>
      <c r="K30" s="17"/>
      <c r="L30" s="17"/>
      <c r="M30" s="17"/>
      <c r="N30" s="17"/>
      <c r="O30" s="17"/>
      <c r="P30" s="17"/>
      <c r="Q30" s="17"/>
      <c r="R30" s="17"/>
      <c r="S30" s="17"/>
      <c r="T30" s="17"/>
      <c r="U30" s="17"/>
      <c r="V30" s="17"/>
      <c r="W30" s="17"/>
      <c r="X30" s="17"/>
    </row>
  </sheetData>
  <mergeCells count="17">
    <mergeCell ref="B2:X2"/>
    <mergeCell ref="B3:X3"/>
    <mergeCell ref="B5:X5"/>
    <mergeCell ref="B7:B8"/>
    <mergeCell ref="C7:C8"/>
    <mergeCell ref="D7:E7"/>
    <mergeCell ref="F7:G7"/>
    <mergeCell ref="H7:I7"/>
    <mergeCell ref="J7:K7"/>
    <mergeCell ref="L7:M7"/>
    <mergeCell ref="N7:O7"/>
    <mergeCell ref="P7:Q7"/>
    <mergeCell ref="R7:S7"/>
    <mergeCell ref="T7:U7"/>
    <mergeCell ref="V7:W7"/>
    <mergeCell ref="X7:X8"/>
    <mergeCell ref="C30:X30"/>
  </mergeCells>
  <conditionalFormatting sqref="D9:W28">
    <cfRule type="expression" priority="2" aboveAverage="0" equalAverage="0" bottom="0" percent="0" rank="0" text="" dxfId="0">
      <formula>D9="P"</formula>
    </cfRule>
    <cfRule type="expression" priority="3" aboveAverage="0" equalAverage="0" bottom="0" percent="0" rank="0" text="" dxfId="1">
      <formula>D9="R"</formula>
    </cfRule>
    <cfRule type="expression" priority="4" aboveAverage="0" equalAverage="0" bottom="0" percent="0" rank="0" text="" dxfId="0">
      <formula>D9="FOAD"</formula>
    </cfRule>
    <cfRule type="expression" priority="5" aboveAverage="0" equalAverage="0" bottom="0" percent="0" rank="0" text="" dxfId="2">
      <formula>D9="AJ"</formula>
    </cfRule>
    <cfRule type="expression" priority="6" aboveAverage="0" equalAverage="0" bottom="0" percent="0" rank="0" text="" dxfId="3">
      <formula>D9="ANJ"</formula>
    </cfRule>
    <cfRule type="expression" priority="7" aboveAverage="0" equalAverage="0" bottom="0" percent="0" rank="0" text="" dxfId="4">
      <formula>D9="ABD"</formula>
    </cfRule>
  </conditionalFormatting>
  <dataValidations count="1">
    <dataValidation allowBlank="true" errorStyle="stop" operator="between" showDropDown="false" showErrorMessage="false" showInputMessage="false" sqref="D9:W28" type="list">
      <formula1>"P,R,FOAD,AJ,ANJ,ABD"</formula1>
      <formula2>0</formula2>
    </dataValidation>
  </dataValidations>
  <printOptions headings="false" gridLines="false" gridLinesSet="true" horizontalCentered="true" verticalCentered="false"/>
  <pageMargins left="0.4" right="0.4" top="0.6" bottom="0.6" header="0.511811023622047" footer="0.3"/>
  <pageSetup paperSize="9" scale="100" fitToWidth="1" fitToHeight="0" pageOrder="downThenOver" orientation="landscape" blackAndWhite="false" draft="false" cellComments="none" horizontalDpi="300" verticalDpi="300" copies="1"/>
  <headerFooter differentFirst="false" differentOddEven="false">
    <oddHeader/>
    <oddFooter>&amp;C&amp;9 &amp;K888780M27 — Suivi assiduité alerte abandon  ·  &amp;A  ·  Page &amp;P /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L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
    <col collapsed="false" customWidth="true" hidden="false" outlineLevel="0" max="3" min="3" style="0" width="28"/>
    <col collapsed="false" customWidth="true" hidden="false" outlineLevel="0" max="4" min="4" style="0" width="14"/>
    <col collapsed="false" customWidth="true" hidden="false" outlineLevel="0" max="10" min="5" style="0" width="11"/>
    <col collapsed="false" customWidth="true" hidden="false" outlineLevel="0" max="11" min="11" style="0" width="16"/>
    <col collapsed="false" customWidth="true" hidden="false" outlineLevel="0" max="12" min="12" style="0" width="18"/>
    <col collapsed="false" customWidth="true" hidden="false" outlineLevel="0" max="13" min="13" style="0" width="2"/>
  </cols>
  <sheetData>
    <row r="2" customFormat="false" ht="30" hidden="false" customHeight="true" outlineLevel="0" collapsed="false">
      <c r="B2" s="18" t="s">
        <v>104</v>
      </c>
      <c r="C2" s="18"/>
      <c r="D2" s="18"/>
      <c r="E2" s="18"/>
      <c r="F2" s="18"/>
      <c r="G2" s="18"/>
      <c r="H2" s="18"/>
      <c r="I2" s="18"/>
      <c r="J2" s="18"/>
      <c r="K2" s="18"/>
      <c r="L2" s="18"/>
    </row>
    <row r="3" customFormat="false" ht="19.5" hidden="false" customHeight="true" outlineLevel="0" collapsed="false">
      <c r="B3" s="19" t="s">
        <v>105</v>
      </c>
      <c r="C3" s="19"/>
      <c r="D3" s="19"/>
      <c r="E3" s="19"/>
      <c r="F3" s="19"/>
      <c r="G3" s="19"/>
      <c r="H3" s="19"/>
      <c r="I3" s="19"/>
      <c r="J3" s="19"/>
      <c r="K3" s="19"/>
      <c r="L3" s="19"/>
    </row>
    <row r="4" customFormat="false" ht="6" hidden="false" customHeight="true" outlineLevel="0" collapsed="false">
      <c r="B4" s="3"/>
      <c r="C4" s="3"/>
      <c r="D4" s="3"/>
      <c r="E4" s="3"/>
      <c r="F4" s="3"/>
      <c r="G4" s="3"/>
      <c r="H4" s="3"/>
      <c r="I4" s="3"/>
      <c r="J4" s="3"/>
      <c r="K4" s="3"/>
      <c r="L4" s="3"/>
    </row>
    <row r="6" customFormat="false" ht="36" hidden="false" customHeight="true" outlineLevel="0" collapsed="false">
      <c r="B6" s="28" t="s">
        <v>51</v>
      </c>
      <c r="C6" s="28" t="s">
        <v>106</v>
      </c>
      <c r="D6" s="28" t="s">
        <v>107</v>
      </c>
      <c r="E6" s="28" t="s">
        <v>16</v>
      </c>
      <c r="F6" s="28" t="s">
        <v>18</v>
      </c>
      <c r="G6" s="28" t="s">
        <v>20</v>
      </c>
      <c r="H6" s="28" t="s">
        <v>22</v>
      </c>
      <c r="I6" s="28" t="s">
        <v>24</v>
      </c>
      <c r="J6" s="28" t="s">
        <v>26</v>
      </c>
      <c r="K6" s="28" t="s">
        <v>108</v>
      </c>
      <c r="L6" s="28" t="s">
        <v>109</v>
      </c>
    </row>
    <row r="7" customFormat="false" ht="27.75" hidden="false" customHeight="true" outlineLevel="0" collapsed="false">
      <c r="B7" s="29" t="str">
        <f aca="false">IF('👥 Bénéficiaires'!B10="","",'👥 Bénéficiaires'!B10)</f>
        <v>01</v>
      </c>
      <c r="C7" s="30" t="str">
        <f aca="false">IF('👥 Bénéficiaires'!C10="","",'👥 Bénéficiaires'!C10&amp;" "&amp;'👥 Bénéficiaires'!D10)</f>
        <v>DUPONT Marie</v>
      </c>
      <c r="D7" s="34" t="n">
        <f aca="false">IF(C7="","",'📋 Saisie présences'!X9)</f>
        <v>20</v>
      </c>
      <c r="E7" s="35" t="n">
        <f aca="false">IF(C7="","",COUNTIF('📋 Saisie présences'!D9:W9,"P"))</f>
        <v>17</v>
      </c>
      <c r="F7" s="35" t="n">
        <f aca="false">IF(C7="","",COUNTIF('📋 Saisie présences'!D9:W9,"R"))</f>
        <v>1</v>
      </c>
      <c r="G7" s="35" t="n">
        <f aca="false">IF(C7="","",COUNTIF('📋 Saisie présences'!D9:W9,"FOAD"))</f>
        <v>2</v>
      </c>
      <c r="H7" s="35" t="n">
        <f aca="false">IF(C7="","",COUNTIF('📋 Saisie présences'!D9:W9,"AJ"))</f>
        <v>0</v>
      </c>
      <c r="I7" s="35" t="n">
        <f aca="false">IF(C7="","",COUNTIF('📋 Saisie présences'!D9:W9,"ANJ"))</f>
        <v>0</v>
      </c>
      <c r="J7" s="35" t="n">
        <f aca="false">IF(C7="","",COUNTIF('📋 Saisie présences'!D9:W9,"ABD"))</f>
        <v>0</v>
      </c>
      <c r="K7" s="36" t="n">
        <f aca="false">IF(C7="","",IF((E7+F7+G7+I7)=0,"",(E7+F7+G7)/(E7+F7+G7+I7)))</f>
        <v>1</v>
      </c>
      <c r="L7" s="37" t="str">
        <f aca="false">IF(C7="","",IF(J7&gt;0,"❌ ABANDON",IF(K7="","",IF(K7&lt;0.5,"🚨 Risque abandon",IF(K7&lt;0.7,"🚨 Alerte rouge",IF(K7&lt;0.85,"⚠ Alerte orange",IF(K7&lt;0.9,"Vigilance","✓ Excellente")))))))</f>
        <v>✓ Excellente</v>
      </c>
    </row>
    <row r="8" customFormat="false" ht="27.75" hidden="false" customHeight="true" outlineLevel="0" collapsed="false">
      <c r="B8" s="29" t="str">
        <f aca="false">IF('👥 Bénéficiaires'!B11="","",'👥 Bénéficiaires'!B11)</f>
        <v>02</v>
      </c>
      <c r="C8" s="30" t="str">
        <f aca="false">IF('👥 Bénéficiaires'!C11="","",'👥 Bénéficiaires'!C11&amp;" "&amp;'👥 Bénéficiaires'!D11)</f>
        <v>MARTIN Karim</v>
      </c>
      <c r="D8" s="34" t="n">
        <f aca="false">IF(C8="","",'📋 Saisie présences'!X10)</f>
        <v>18</v>
      </c>
      <c r="E8" s="35" t="n">
        <f aca="false">IF(C8="","",COUNTIF('📋 Saisie présences'!D10:W10,"P"))</f>
        <v>18</v>
      </c>
      <c r="F8" s="35" t="n">
        <f aca="false">IF(C8="","",COUNTIF('📋 Saisie présences'!D10:W10,"R"))</f>
        <v>0</v>
      </c>
      <c r="G8" s="35" t="n">
        <f aca="false">IF(C8="","",COUNTIF('📋 Saisie présences'!D10:W10,"FOAD"))</f>
        <v>0</v>
      </c>
      <c r="H8" s="35" t="n">
        <f aca="false">IF(C8="","",COUNTIF('📋 Saisie présences'!D10:W10,"AJ"))</f>
        <v>2</v>
      </c>
      <c r="I8" s="35" t="n">
        <f aca="false">IF(C8="","",COUNTIF('📋 Saisie présences'!D10:W10,"ANJ"))</f>
        <v>0</v>
      </c>
      <c r="J8" s="35" t="n">
        <f aca="false">IF(C8="","",COUNTIF('📋 Saisie présences'!D10:W10,"ABD"))</f>
        <v>0</v>
      </c>
      <c r="K8" s="36" t="n">
        <f aca="false">IF(C8="","",IF((E8+F8+G8+I8)=0,"",(E8+F8+G8)/(E8+F8+G8+I8)))</f>
        <v>1</v>
      </c>
      <c r="L8" s="37" t="str">
        <f aca="false">IF(C8="","",IF(J8&gt;0,"❌ ABANDON",IF(K8="","",IF(K8&lt;0.5,"🚨 Risque abandon",IF(K8&lt;0.7,"🚨 Alerte rouge",IF(K8&lt;0.85,"⚠ Alerte orange",IF(K8&lt;0.9,"Vigilance","✓ Excellente")))))))</f>
        <v>✓ Excellente</v>
      </c>
    </row>
    <row r="9" customFormat="false" ht="27.75" hidden="false" customHeight="true" outlineLevel="0" collapsed="false">
      <c r="B9" s="29" t="str">
        <f aca="false">IF('👥 Bénéficiaires'!B12="","",'👥 Bénéficiaires'!B12)</f>
        <v>03</v>
      </c>
      <c r="C9" s="30" t="str">
        <f aca="false">IF('👥 Bénéficiaires'!C12="","",'👥 Bénéficiaires'!C12&amp;" "&amp;'👥 Bénéficiaires'!D12)</f>
        <v>BERNARD Sophie</v>
      </c>
      <c r="D9" s="34" t="n">
        <f aca="false">IF(C9="","",'📋 Saisie présences'!X11)</f>
        <v>16</v>
      </c>
      <c r="E9" s="35" t="n">
        <f aca="false">IF(C9="","",COUNTIF('📋 Saisie présences'!D11:W11,"P"))</f>
        <v>14</v>
      </c>
      <c r="F9" s="35" t="n">
        <f aca="false">IF(C9="","",COUNTIF('📋 Saisie présences'!D11:W11,"R"))</f>
        <v>0</v>
      </c>
      <c r="G9" s="35" t="n">
        <f aca="false">IF(C9="","",COUNTIF('📋 Saisie présences'!D11:W11,"FOAD"))</f>
        <v>2</v>
      </c>
      <c r="H9" s="35" t="n">
        <f aca="false">IF(C9="","",COUNTIF('📋 Saisie présences'!D11:W11,"AJ"))</f>
        <v>0</v>
      </c>
      <c r="I9" s="35" t="n">
        <f aca="false">IF(C9="","",COUNTIF('📋 Saisie présences'!D11:W11,"ANJ"))</f>
        <v>4</v>
      </c>
      <c r="J9" s="35" t="n">
        <f aca="false">IF(C9="","",COUNTIF('📋 Saisie présences'!D11:W11,"ABD"))</f>
        <v>0</v>
      </c>
      <c r="K9" s="36" t="n">
        <f aca="false">IF(C9="","",IF((E9+F9+G9+I9)=0,"",(E9+F9+G9)/(E9+F9+G9+I9)))</f>
        <v>0.8</v>
      </c>
      <c r="L9" s="37" t="str">
        <f aca="false">IF(C9="","",IF(J9&gt;0,"❌ ABANDON",IF(K9="","",IF(K9&lt;0.5,"🚨 Risque abandon",IF(K9&lt;0.7,"🚨 Alerte rouge",IF(K9&lt;0.85,"⚠ Alerte orange",IF(K9&lt;0.9,"Vigilance","✓ Excellente")))))))</f>
        <v>⚠ Alerte orange</v>
      </c>
    </row>
    <row r="10" customFormat="false" ht="27.75" hidden="false" customHeight="true" outlineLevel="0" collapsed="false">
      <c r="B10" s="29" t="str">
        <f aca="false">IF('👥 Bénéficiaires'!B13="","",'👥 Bénéficiaires'!B13)</f>
        <v>04</v>
      </c>
      <c r="C10" s="30" t="str">
        <f aca="false">IF('👥 Bénéficiaires'!C13="","",'👥 Bénéficiaires'!C13&amp;" "&amp;'👥 Bénéficiaires'!D13)</f>
        <v>LEROY Thomas</v>
      </c>
      <c r="D10" s="34" t="n">
        <f aca="false">IF(C10="","",'📋 Saisie présences'!X12)</f>
        <v>7</v>
      </c>
      <c r="E10" s="35" t="n">
        <f aca="false">IF(C10="","",COUNTIF('📋 Saisie présences'!D12:W12,"P"))</f>
        <v>7</v>
      </c>
      <c r="F10" s="35" t="n">
        <f aca="false">IF(C10="","",COUNTIF('📋 Saisie présences'!D12:W12,"R"))</f>
        <v>0</v>
      </c>
      <c r="G10" s="35" t="n">
        <f aca="false">IF(C10="","",COUNTIF('📋 Saisie présences'!D12:W12,"FOAD"))</f>
        <v>0</v>
      </c>
      <c r="H10" s="35" t="n">
        <f aca="false">IF(C10="","",COUNTIF('📋 Saisie présences'!D12:W12,"AJ"))</f>
        <v>0</v>
      </c>
      <c r="I10" s="35" t="n">
        <f aca="false">IF(C10="","",COUNTIF('📋 Saisie présences'!D12:W12,"ANJ"))</f>
        <v>1</v>
      </c>
      <c r="J10" s="35" t="n">
        <f aca="false">IF(C10="","",COUNTIF('📋 Saisie présences'!D12:W12,"ABD"))</f>
        <v>12</v>
      </c>
      <c r="K10" s="36" t="n">
        <f aca="false">IF(C10="","",IF((E10+F10+G10+I10)=0,"",(E10+F10+G10)/(E10+F10+G10+I10)))</f>
        <v>0.875</v>
      </c>
      <c r="L10" s="37" t="str">
        <f aca="false">IF(C10="","",IF(J10&gt;0,"❌ ABANDON",IF(K10="","",IF(K10&lt;0.5,"🚨 Risque abandon",IF(K10&lt;0.7,"🚨 Alerte rouge",IF(K10&lt;0.85,"⚠ Alerte orange",IF(K10&lt;0.9,"Vigilance","✓ Excellente")))))))</f>
        <v>❌ ABANDON</v>
      </c>
    </row>
    <row r="11" customFormat="false" ht="27.75" hidden="false" customHeight="true" outlineLevel="0" collapsed="false">
      <c r="B11" s="29" t="str">
        <f aca="false">IF('👥 Bénéficiaires'!B14="","",'👥 Bénéficiaires'!B14)</f>
        <v/>
      </c>
      <c r="C11" s="30" t="str">
        <f aca="false">IF('👥 Bénéficiaires'!C14="","",'👥 Bénéficiaires'!C14&amp;" "&amp;'👥 Bénéficiaires'!D14)</f>
        <v/>
      </c>
      <c r="D11" s="34" t="str">
        <f aca="false">IF(C11="","",'📋 Saisie présences'!X13)</f>
        <v/>
      </c>
      <c r="E11" s="35" t="str">
        <f aca="false">IF(C11="","",COUNTIF('📋 Saisie présences'!D13:W13,"P"))</f>
        <v/>
      </c>
      <c r="F11" s="35" t="str">
        <f aca="false">IF(C11="","",COUNTIF('📋 Saisie présences'!D13:W13,"R"))</f>
        <v/>
      </c>
      <c r="G11" s="35" t="str">
        <f aca="false">IF(C11="","",COUNTIF('📋 Saisie présences'!D13:W13,"FOAD"))</f>
        <v/>
      </c>
      <c r="H11" s="35" t="str">
        <f aca="false">IF(C11="","",COUNTIF('📋 Saisie présences'!D13:W13,"AJ"))</f>
        <v/>
      </c>
      <c r="I11" s="35" t="str">
        <f aca="false">IF(C11="","",COUNTIF('📋 Saisie présences'!D13:W13,"ANJ"))</f>
        <v/>
      </c>
      <c r="J11" s="35" t="str">
        <f aca="false">IF(C11="","",COUNTIF('📋 Saisie présences'!D13:W13,"ABD"))</f>
        <v/>
      </c>
      <c r="K11" s="36" t="str">
        <f aca="false">IF(C11="","",IF((E11+F11+G11+I11)=0,"",(E11+F11+G11)/(E11+F11+G11+I11)))</f>
        <v/>
      </c>
      <c r="L11" s="37" t="str">
        <f aca="false">IF(C11="","",IF(J11&gt;0,"❌ ABANDON",IF(K11="","",IF(K11&lt;0.5,"🚨 Risque abandon",IF(K11&lt;0.7,"🚨 Alerte rouge",IF(K11&lt;0.85,"⚠ Alerte orange",IF(K11&lt;0.9,"Vigilance","✓ Excellente")))))))</f>
        <v/>
      </c>
    </row>
    <row r="12" customFormat="false" ht="27.75" hidden="false" customHeight="true" outlineLevel="0" collapsed="false">
      <c r="B12" s="29" t="str">
        <f aca="false">IF('👥 Bénéficiaires'!B15="","",'👥 Bénéficiaires'!B15)</f>
        <v/>
      </c>
      <c r="C12" s="30" t="str">
        <f aca="false">IF('👥 Bénéficiaires'!C15="","",'👥 Bénéficiaires'!C15&amp;" "&amp;'👥 Bénéficiaires'!D15)</f>
        <v/>
      </c>
      <c r="D12" s="34" t="str">
        <f aca="false">IF(C12="","",'📋 Saisie présences'!X14)</f>
        <v/>
      </c>
      <c r="E12" s="35" t="str">
        <f aca="false">IF(C12="","",COUNTIF('📋 Saisie présences'!D14:W14,"P"))</f>
        <v/>
      </c>
      <c r="F12" s="35" t="str">
        <f aca="false">IF(C12="","",COUNTIF('📋 Saisie présences'!D14:W14,"R"))</f>
        <v/>
      </c>
      <c r="G12" s="35" t="str">
        <f aca="false">IF(C12="","",COUNTIF('📋 Saisie présences'!D14:W14,"FOAD"))</f>
        <v/>
      </c>
      <c r="H12" s="35" t="str">
        <f aca="false">IF(C12="","",COUNTIF('📋 Saisie présences'!D14:W14,"AJ"))</f>
        <v/>
      </c>
      <c r="I12" s="35" t="str">
        <f aca="false">IF(C12="","",COUNTIF('📋 Saisie présences'!D14:W14,"ANJ"))</f>
        <v/>
      </c>
      <c r="J12" s="35" t="str">
        <f aca="false">IF(C12="","",COUNTIF('📋 Saisie présences'!D14:W14,"ABD"))</f>
        <v/>
      </c>
      <c r="K12" s="36" t="str">
        <f aca="false">IF(C12="","",IF((E12+F12+G12+I12)=0,"",(E12+F12+G12)/(E12+F12+G12+I12)))</f>
        <v/>
      </c>
      <c r="L12" s="37" t="str">
        <f aca="false">IF(C12="","",IF(J12&gt;0,"❌ ABANDON",IF(K12="","",IF(K12&lt;0.5,"🚨 Risque abandon",IF(K12&lt;0.7,"🚨 Alerte rouge",IF(K12&lt;0.85,"⚠ Alerte orange",IF(K12&lt;0.9,"Vigilance","✓ Excellente")))))))</f>
        <v/>
      </c>
    </row>
    <row r="13" customFormat="false" ht="27.75" hidden="false" customHeight="true" outlineLevel="0" collapsed="false">
      <c r="B13" s="29" t="str">
        <f aca="false">IF('👥 Bénéficiaires'!B16="","",'👥 Bénéficiaires'!B16)</f>
        <v/>
      </c>
      <c r="C13" s="30" t="str">
        <f aca="false">IF('👥 Bénéficiaires'!C16="","",'👥 Bénéficiaires'!C16&amp;" "&amp;'👥 Bénéficiaires'!D16)</f>
        <v/>
      </c>
      <c r="D13" s="34" t="str">
        <f aca="false">IF(C13="","",'📋 Saisie présences'!X15)</f>
        <v/>
      </c>
      <c r="E13" s="35" t="str">
        <f aca="false">IF(C13="","",COUNTIF('📋 Saisie présences'!D15:W15,"P"))</f>
        <v/>
      </c>
      <c r="F13" s="35" t="str">
        <f aca="false">IF(C13="","",COUNTIF('📋 Saisie présences'!D15:W15,"R"))</f>
        <v/>
      </c>
      <c r="G13" s="35" t="str">
        <f aca="false">IF(C13="","",COUNTIF('📋 Saisie présences'!D15:W15,"FOAD"))</f>
        <v/>
      </c>
      <c r="H13" s="35" t="str">
        <f aca="false">IF(C13="","",COUNTIF('📋 Saisie présences'!D15:W15,"AJ"))</f>
        <v/>
      </c>
      <c r="I13" s="35" t="str">
        <f aca="false">IF(C13="","",COUNTIF('📋 Saisie présences'!D15:W15,"ANJ"))</f>
        <v/>
      </c>
      <c r="J13" s="35" t="str">
        <f aca="false">IF(C13="","",COUNTIF('📋 Saisie présences'!D15:W15,"ABD"))</f>
        <v/>
      </c>
      <c r="K13" s="36" t="str">
        <f aca="false">IF(C13="","",IF((E13+F13+G13+I13)=0,"",(E13+F13+G13)/(E13+F13+G13+I13)))</f>
        <v/>
      </c>
      <c r="L13" s="37" t="str">
        <f aca="false">IF(C13="","",IF(J13&gt;0,"❌ ABANDON",IF(K13="","",IF(K13&lt;0.5,"🚨 Risque abandon",IF(K13&lt;0.7,"🚨 Alerte rouge",IF(K13&lt;0.85,"⚠ Alerte orange",IF(K13&lt;0.9,"Vigilance","✓ Excellente")))))))</f>
        <v/>
      </c>
    </row>
    <row r="14" customFormat="false" ht="27.75" hidden="false" customHeight="true" outlineLevel="0" collapsed="false">
      <c r="B14" s="29" t="str">
        <f aca="false">IF('👥 Bénéficiaires'!B17="","",'👥 Bénéficiaires'!B17)</f>
        <v/>
      </c>
      <c r="C14" s="30" t="str">
        <f aca="false">IF('👥 Bénéficiaires'!C17="","",'👥 Bénéficiaires'!C17&amp;" "&amp;'👥 Bénéficiaires'!D17)</f>
        <v/>
      </c>
      <c r="D14" s="34" t="str">
        <f aca="false">IF(C14="","",'📋 Saisie présences'!X16)</f>
        <v/>
      </c>
      <c r="E14" s="35" t="str">
        <f aca="false">IF(C14="","",COUNTIF('📋 Saisie présences'!D16:W16,"P"))</f>
        <v/>
      </c>
      <c r="F14" s="35" t="str">
        <f aca="false">IF(C14="","",COUNTIF('📋 Saisie présences'!D16:W16,"R"))</f>
        <v/>
      </c>
      <c r="G14" s="35" t="str">
        <f aca="false">IF(C14="","",COUNTIF('📋 Saisie présences'!D16:W16,"FOAD"))</f>
        <v/>
      </c>
      <c r="H14" s="35" t="str">
        <f aca="false">IF(C14="","",COUNTIF('📋 Saisie présences'!D16:W16,"AJ"))</f>
        <v/>
      </c>
      <c r="I14" s="35" t="str">
        <f aca="false">IF(C14="","",COUNTIF('📋 Saisie présences'!D16:W16,"ANJ"))</f>
        <v/>
      </c>
      <c r="J14" s="35" t="str">
        <f aca="false">IF(C14="","",COUNTIF('📋 Saisie présences'!D16:W16,"ABD"))</f>
        <v/>
      </c>
      <c r="K14" s="36" t="str">
        <f aca="false">IF(C14="","",IF((E14+F14+G14+I14)=0,"",(E14+F14+G14)/(E14+F14+G14+I14)))</f>
        <v/>
      </c>
      <c r="L14" s="37" t="str">
        <f aca="false">IF(C14="","",IF(J14&gt;0,"❌ ABANDON",IF(K14="","",IF(K14&lt;0.5,"🚨 Risque abandon",IF(K14&lt;0.7,"🚨 Alerte rouge",IF(K14&lt;0.85,"⚠ Alerte orange",IF(K14&lt;0.9,"Vigilance","✓ Excellente")))))))</f>
        <v/>
      </c>
    </row>
    <row r="15" customFormat="false" ht="27.75" hidden="false" customHeight="true" outlineLevel="0" collapsed="false">
      <c r="B15" s="29" t="str">
        <f aca="false">IF('👥 Bénéficiaires'!B18="","",'👥 Bénéficiaires'!B18)</f>
        <v/>
      </c>
      <c r="C15" s="30" t="str">
        <f aca="false">IF('👥 Bénéficiaires'!C18="","",'👥 Bénéficiaires'!C18&amp;" "&amp;'👥 Bénéficiaires'!D18)</f>
        <v/>
      </c>
      <c r="D15" s="34" t="str">
        <f aca="false">IF(C15="","",'📋 Saisie présences'!X17)</f>
        <v/>
      </c>
      <c r="E15" s="35" t="str">
        <f aca="false">IF(C15="","",COUNTIF('📋 Saisie présences'!D17:W17,"P"))</f>
        <v/>
      </c>
      <c r="F15" s="35" t="str">
        <f aca="false">IF(C15="","",COUNTIF('📋 Saisie présences'!D17:W17,"R"))</f>
        <v/>
      </c>
      <c r="G15" s="35" t="str">
        <f aca="false">IF(C15="","",COUNTIF('📋 Saisie présences'!D17:W17,"FOAD"))</f>
        <v/>
      </c>
      <c r="H15" s="35" t="str">
        <f aca="false">IF(C15="","",COUNTIF('📋 Saisie présences'!D17:W17,"AJ"))</f>
        <v/>
      </c>
      <c r="I15" s="35" t="str">
        <f aca="false">IF(C15="","",COUNTIF('📋 Saisie présences'!D17:W17,"ANJ"))</f>
        <v/>
      </c>
      <c r="J15" s="35" t="str">
        <f aca="false">IF(C15="","",COUNTIF('📋 Saisie présences'!D17:W17,"ABD"))</f>
        <v/>
      </c>
      <c r="K15" s="36" t="str">
        <f aca="false">IF(C15="","",IF((E15+F15+G15+I15)=0,"",(E15+F15+G15)/(E15+F15+G15+I15)))</f>
        <v/>
      </c>
      <c r="L15" s="37" t="str">
        <f aca="false">IF(C15="","",IF(J15&gt;0,"❌ ABANDON",IF(K15="","",IF(K15&lt;0.5,"🚨 Risque abandon",IF(K15&lt;0.7,"🚨 Alerte rouge",IF(K15&lt;0.85,"⚠ Alerte orange",IF(K15&lt;0.9,"Vigilance","✓ Excellente")))))))</f>
        <v/>
      </c>
    </row>
    <row r="16" customFormat="false" ht="27.75" hidden="false" customHeight="true" outlineLevel="0" collapsed="false">
      <c r="B16" s="29" t="str">
        <f aca="false">IF('👥 Bénéficiaires'!B19="","",'👥 Bénéficiaires'!B19)</f>
        <v/>
      </c>
      <c r="C16" s="30" t="str">
        <f aca="false">IF('👥 Bénéficiaires'!C19="","",'👥 Bénéficiaires'!C19&amp;" "&amp;'👥 Bénéficiaires'!D19)</f>
        <v/>
      </c>
      <c r="D16" s="34" t="str">
        <f aca="false">IF(C16="","",'📋 Saisie présences'!X18)</f>
        <v/>
      </c>
      <c r="E16" s="35" t="str">
        <f aca="false">IF(C16="","",COUNTIF('📋 Saisie présences'!D18:W18,"P"))</f>
        <v/>
      </c>
      <c r="F16" s="35" t="str">
        <f aca="false">IF(C16="","",COUNTIF('📋 Saisie présences'!D18:W18,"R"))</f>
        <v/>
      </c>
      <c r="G16" s="35" t="str">
        <f aca="false">IF(C16="","",COUNTIF('📋 Saisie présences'!D18:W18,"FOAD"))</f>
        <v/>
      </c>
      <c r="H16" s="35" t="str">
        <f aca="false">IF(C16="","",COUNTIF('📋 Saisie présences'!D18:W18,"AJ"))</f>
        <v/>
      </c>
      <c r="I16" s="35" t="str">
        <f aca="false">IF(C16="","",COUNTIF('📋 Saisie présences'!D18:W18,"ANJ"))</f>
        <v/>
      </c>
      <c r="J16" s="35" t="str">
        <f aca="false">IF(C16="","",COUNTIF('📋 Saisie présences'!D18:W18,"ABD"))</f>
        <v/>
      </c>
      <c r="K16" s="36" t="str">
        <f aca="false">IF(C16="","",IF((E16+F16+G16+I16)=0,"",(E16+F16+G16)/(E16+F16+G16+I16)))</f>
        <v/>
      </c>
      <c r="L16" s="37" t="str">
        <f aca="false">IF(C16="","",IF(J16&gt;0,"❌ ABANDON",IF(K16="","",IF(K16&lt;0.5,"🚨 Risque abandon",IF(K16&lt;0.7,"🚨 Alerte rouge",IF(K16&lt;0.85,"⚠ Alerte orange",IF(K16&lt;0.9,"Vigilance","✓ Excellente")))))))</f>
        <v/>
      </c>
    </row>
    <row r="17" customFormat="false" ht="27.75" hidden="false" customHeight="true" outlineLevel="0" collapsed="false">
      <c r="B17" s="29" t="str">
        <f aca="false">IF('👥 Bénéficiaires'!B20="","",'👥 Bénéficiaires'!B20)</f>
        <v/>
      </c>
      <c r="C17" s="30" t="str">
        <f aca="false">IF('👥 Bénéficiaires'!C20="","",'👥 Bénéficiaires'!C20&amp;" "&amp;'👥 Bénéficiaires'!D20)</f>
        <v/>
      </c>
      <c r="D17" s="34" t="str">
        <f aca="false">IF(C17="","",'📋 Saisie présences'!X19)</f>
        <v/>
      </c>
      <c r="E17" s="35" t="str">
        <f aca="false">IF(C17="","",COUNTIF('📋 Saisie présences'!D19:W19,"P"))</f>
        <v/>
      </c>
      <c r="F17" s="35" t="str">
        <f aca="false">IF(C17="","",COUNTIF('📋 Saisie présences'!D19:W19,"R"))</f>
        <v/>
      </c>
      <c r="G17" s="35" t="str">
        <f aca="false">IF(C17="","",COUNTIF('📋 Saisie présences'!D19:W19,"FOAD"))</f>
        <v/>
      </c>
      <c r="H17" s="35" t="str">
        <f aca="false">IF(C17="","",COUNTIF('📋 Saisie présences'!D19:W19,"AJ"))</f>
        <v/>
      </c>
      <c r="I17" s="35" t="str">
        <f aca="false">IF(C17="","",COUNTIF('📋 Saisie présences'!D19:W19,"ANJ"))</f>
        <v/>
      </c>
      <c r="J17" s="35" t="str">
        <f aca="false">IF(C17="","",COUNTIF('📋 Saisie présences'!D19:W19,"ABD"))</f>
        <v/>
      </c>
      <c r="K17" s="36" t="str">
        <f aca="false">IF(C17="","",IF((E17+F17+G17+I17)=0,"",(E17+F17+G17)/(E17+F17+G17+I17)))</f>
        <v/>
      </c>
      <c r="L17" s="37" t="str">
        <f aca="false">IF(C17="","",IF(J17&gt;0,"❌ ABANDON",IF(K17="","",IF(K17&lt;0.5,"🚨 Risque abandon",IF(K17&lt;0.7,"🚨 Alerte rouge",IF(K17&lt;0.85,"⚠ Alerte orange",IF(K17&lt;0.9,"Vigilance","✓ Excellente")))))))</f>
        <v/>
      </c>
    </row>
    <row r="18" customFormat="false" ht="27.75" hidden="false" customHeight="true" outlineLevel="0" collapsed="false">
      <c r="B18" s="29" t="str">
        <f aca="false">IF('👥 Bénéficiaires'!B21="","",'👥 Bénéficiaires'!B21)</f>
        <v/>
      </c>
      <c r="C18" s="30" t="str">
        <f aca="false">IF('👥 Bénéficiaires'!C21="","",'👥 Bénéficiaires'!C21&amp;" "&amp;'👥 Bénéficiaires'!D21)</f>
        <v/>
      </c>
      <c r="D18" s="34" t="str">
        <f aca="false">IF(C18="","",'📋 Saisie présences'!X20)</f>
        <v/>
      </c>
      <c r="E18" s="35" t="str">
        <f aca="false">IF(C18="","",COUNTIF('📋 Saisie présences'!D20:W20,"P"))</f>
        <v/>
      </c>
      <c r="F18" s="35" t="str">
        <f aca="false">IF(C18="","",COUNTIF('📋 Saisie présences'!D20:W20,"R"))</f>
        <v/>
      </c>
      <c r="G18" s="35" t="str">
        <f aca="false">IF(C18="","",COUNTIF('📋 Saisie présences'!D20:W20,"FOAD"))</f>
        <v/>
      </c>
      <c r="H18" s="35" t="str">
        <f aca="false">IF(C18="","",COUNTIF('📋 Saisie présences'!D20:W20,"AJ"))</f>
        <v/>
      </c>
      <c r="I18" s="35" t="str">
        <f aca="false">IF(C18="","",COUNTIF('📋 Saisie présences'!D20:W20,"ANJ"))</f>
        <v/>
      </c>
      <c r="J18" s="35" t="str">
        <f aca="false">IF(C18="","",COUNTIF('📋 Saisie présences'!D20:W20,"ABD"))</f>
        <v/>
      </c>
      <c r="K18" s="36" t="str">
        <f aca="false">IF(C18="","",IF((E18+F18+G18+I18)=0,"",(E18+F18+G18)/(E18+F18+G18+I18)))</f>
        <v/>
      </c>
      <c r="L18" s="37" t="str">
        <f aca="false">IF(C18="","",IF(J18&gt;0,"❌ ABANDON",IF(K18="","",IF(K18&lt;0.5,"🚨 Risque abandon",IF(K18&lt;0.7,"🚨 Alerte rouge",IF(K18&lt;0.85,"⚠ Alerte orange",IF(K18&lt;0.9,"Vigilance","✓ Excellente")))))))</f>
        <v/>
      </c>
    </row>
    <row r="19" customFormat="false" ht="27.75" hidden="false" customHeight="true" outlineLevel="0" collapsed="false">
      <c r="B19" s="29" t="str">
        <f aca="false">IF('👥 Bénéficiaires'!B22="","",'👥 Bénéficiaires'!B22)</f>
        <v/>
      </c>
      <c r="C19" s="30" t="str">
        <f aca="false">IF('👥 Bénéficiaires'!C22="","",'👥 Bénéficiaires'!C22&amp;" "&amp;'👥 Bénéficiaires'!D22)</f>
        <v/>
      </c>
      <c r="D19" s="34" t="str">
        <f aca="false">IF(C19="","",'📋 Saisie présences'!X21)</f>
        <v/>
      </c>
      <c r="E19" s="35" t="str">
        <f aca="false">IF(C19="","",COUNTIF('📋 Saisie présences'!D21:W21,"P"))</f>
        <v/>
      </c>
      <c r="F19" s="35" t="str">
        <f aca="false">IF(C19="","",COUNTIF('📋 Saisie présences'!D21:W21,"R"))</f>
        <v/>
      </c>
      <c r="G19" s="35" t="str">
        <f aca="false">IF(C19="","",COUNTIF('📋 Saisie présences'!D21:W21,"FOAD"))</f>
        <v/>
      </c>
      <c r="H19" s="35" t="str">
        <f aca="false">IF(C19="","",COUNTIF('📋 Saisie présences'!D21:W21,"AJ"))</f>
        <v/>
      </c>
      <c r="I19" s="35" t="str">
        <f aca="false">IF(C19="","",COUNTIF('📋 Saisie présences'!D21:W21,"ANJ"))</f>
        <v/>
      </c>
      <c r="J19" s="35" t="str">
        <f aca="false">IF(C19="","",COUNTIF('📋 Saisie présences'!D21:W21,"ABD"))</f>
        <v/>
      </c>
      <c r="K19" s="36" t="str">
        <f aca="false">IF(C19="","",IF((E19+F19+G19+I19)=0,"",(E19+F19+G19)/(E19+F19+G19+I19)))</f>
        <v/>
      </c>
      <c r="L19" s="37" t="str">
        <f aca="false">IF(C19="","",IF(J19&gt;0,"❌ ABANDON",IF(K19="","",IF(K19&lt;0.5,"🚨 Risque abandon",IF(K19&lt;0.7,"🚨 Alerte rouge",IF(K19&lt;0.85,"⚠ Alerte orange",IF(K19&lt;0.9,"Vigilance","✓ Excellente")))))))</f>
        <v/>
      </c>
    </row>
    <row r="20" customFormat="false" ht="27.75" hidden="false" customHeight="true" outlineLevel="0" collapsed="false">
      <c r="B20" s="29" t="str">
        <f aca="false">IF('👥 Bénéficiaires'!B23="","",'👥 Bénéficiaires'!B23)</f>
        <v/>
      </c>
      <c r="C20" s="30" t="str">
        <f aca="false">IF('👥 Bénéficiaires'!C23="","",'👥 Bénéficiaires'!C23&amp;" "&amp;'👥 Bénéficiaires'!D23)</f>
        <v/>
      </c>
      <c r="D20" s="34" t="str">
        <f aca="false">IF(C20="","",'📋 Saisie présences'!X22)</f>
        <v/>
      </c>
      <c r="E20" s="35" t="str">
        <f aca="false">IF(C20="","",COUNTIF('📋 Saisie présences'!D22:W22,"P"))</f>
        <v/>
      </c>
      <c r="F20" s="35" t="str">
        <f aca="false">IF(C20="","",COUNTIF('📋 Saisie présences'!D22:W22,"R"))</f>
        <v/>
      </c>
      <c r="G20" s="35" t="str">
        <f aca="false">IF(C20="","",COUNTIF('📋 Saisie présences'!D22:W22,"FOAD"))</f>
        <v/>
      </c>
      <c r="H20" s="35" t="str">
        <f aca="false">IF(C20="","",COUNTIF('📋 Saisie présences'!D22:W22,"AJ"))</f>
        <v/>
      </c>
      <c r="I20" s="35" t="str">
        <f aca="false">IF(C20="","",COUNTIF('📋 Saisie présences'!D22:W22,"ANJ"))</f>
        <v/>
      </c>
      <c r="J20" s="35" t="str">
        <f aca="false">IF(C20="","",COUNTIF('📋 Saisie présences'!D22:W22,"ABD"))</f>
        <v/>
      </c>
      <c r="K20" s="36" t="str">
        <f aca="false">IF(C20="","",IF((E20+F20+G20+I20)=0,"",(E20+F20+G20)/(E20+F20+G20+I20)))</f>
        <v/>
      </c>
      <c r="L20" s="37" t="str">
        <f aca="false">IF(C20="","",IF(J20&gt;0,"❌ ABANDON",IF(K20="","",IF(K20&lt;0.5,"🚨 Risque abandon",IF(K20&lt;0.7,"🚨 Alerte rouge",IF(K20&lt;0.85,"⚠ Alerte orange",IF(K20&lt;0.9,"Vigilance","✓ Excellente")))))))</f>
        <v/>
      </c>
    </row>
    <row r="21" customFormat="false" ht="27.75" hidden="false" customHeight="true" outlineLevel="0" collapsed="false">
      <c r="B21" s="29" t="str">
        <f aca="false">IF('👥 Bénéficiaires'!B24="","",'👥 Bénéficiaires'!B24)</f>
        <v/>
      </c>
      <c r="C21" s="30" t="str">
        <f aca="false">IF('👥 Bénéficiaires'!C24="","",'👥 Bénéficiaires'!C24&amp;" "&amp;'👥 Bénéficiaires'!D24)</f>
        <v/>
      </c>
      <c r="D21" s="34" t="str">
        <f aca="false">IF(C21="","",'📋 Saisie présences'!X23)</f>
        <v/>
      </c>
      <c r="E21" s="35" t="str">
        <f aca="false">IF(C21="","",COUNTIF('📋 Saisie présences'!D23:W23,"P"))</f>
        <v/>
      </c>
      <c r="F21" s="35" t="str">
        <f aca="false">IF(C21="","",COUNTIF('📋 Saisie présences'!D23:W23,"R"))</f>
        <v/>
      </c>
      <c r="G21" s="35" t="str">
        <f aca="false">IF(C21="","",COUNTIF('📋 Saisie présences'!D23:W23,"FOAD"))</f>
        <v/>
      </c>
      <c r="H21" s="35" t="str">
        <f aca="false">IF(C21="","",COUNTIF('📋 Saisie présences'!D23:W23,"AJ"))</f>
        <v/>
      </c>
      <c r="I21" s="35" t="str">
        <f aca="false">IF(C21="","",COUNTIF('📋 Saisie présences'!D23:W23,"ANJ"))</f>
        <v/>
      </c>
      <c r="J21" s="35" t="str">
        <f aca="false">IF(C21="","",COUNTIF('📋 Saisie présences'!D23:W23,"ABD"))</f>
        <v/>
      </c>
      <c r="K21" s="36" t="str">
        <f aca="false">IF(C21="","",IF((E21+F21+G21+I21)=0,"",(E21+F21+G21)/(E21+F21+G21+I21)))</f>
        <v/>
      </c>
      <c r="L21" s="37" t="str">
        <f aca="false">IF(C21="","",IF(J21&gt;0,"❌ ABANDON",IF(K21="","",IF(K21&lt;0.5,"🚨 Risque abandon",IF(K21&lt;0.7,"🚨 Alerte rouge",IF(K21&lt;0.85,"⚠ Alerte orange",IF(K21&lt;0.9,"Vigilance","✓ Excellente")))))))</f>
        <v/>
      </c>
    </row>
    <row r="22" customFormat="false" ht="27.75" hidden="false" customHeight="true" outlineLevel="0" collapsed="false">
      <c r="B22" s="29" t="str">
        <f aca="false">IF('👥 Bénéficiaires'!B25="","",'👥 Bénéficiaires'!B25)</f>
        <v/>
      </c>
      <c r="C22" s="30" t="str">
        <f aca="false">IF('👥 Bénéficiaires'!C25="","",'👥 Bénéficiaires'!C25&amp;" "&amp;'👥 Bénéficiaires'!D25)</f>
        <v/>
      </c>
      <c r="D22" s="34" t="str">
        <f aca="false">IF(C22="","",'📋 Saisie présences'!X24)</f>
        <v/>
      </c>
      <c r="E22" s="35" t="str">
        <f aca="false">IF(C22="","",COUNTIF('📋 Saisie présences'!D24:W24,"P"))</f>
        <v/>
      </c>
      <c r="F22" s="35" t="str">
        <f aca="false">IF(C22="","",COUNTIF('📋 Saisie présences'!D24:W24,"R"))</f>
        <v/>
      </c>
      <c r="G22" s="35" t="str">
        <f aca="false">IF(C22="","",COUNTIF('📋 Saisie présences'!D24:W24,"FOAD"))</f>
        <v/>
      </c>
      <c r="H22" s="35" t="str">
        <f aca="false">IF(C22="","",COUNTIF('📋 Saisie présences'!D24:W24,"AJ"))</f>
        <v/>
      </c>
      <c r="I22" s="35" t="str">
        <f aca="false">IF(C22="","",COUNTIF('📋 Saisie présences'!D24:W24,"ANJ"))</f>
        <v/>
      </c>
      <c r="J22" s="35" t="str">
        <f aca="false">IF(C22="","",COUNTIF('📋 Saisie présences'!D24:W24,"ABD"))</f>
        <v/>
      </c>
      <c r="K22" s="36" t="str">
        <f aca="false">IF(C22="","",IF((E22+F22+G22+I22)=0,"",(E22+F22+G22)/(E22+F22+G22+I22)))</f>
        <v/>
      </c>
      <c r="L22" s="37" t="str">
        <f aca="false">IF(C22="","",IF(J22&gt;0,"❌ ABANDON",IF(K22="","",IF(K22&lt;0.5,"🚨 Risque abandon",IF(K22&lt;0.7,"🚨 Alerte rouge",IF(K22&lt;0.85,"⚠ Alerte orange",IF(K22&lt;0.9,"Vigilance","✓ Excellente")))))))</f>
        <v/>
      </c>
    </row>
    <row r="23" customFormat="false" ht="27.75" hidden="false" customHeight="true" outlineLevel="0" collapsed="false">
      <c r="B23" s="29" t="str">
        <f aca="false">IF('👥 Bénéficiaires'!B26="","",'👥 Bénéficiaires'!B26)</f>
        <v/>
      </c>
      <c r="C23" s="30" t="str">
        <f aca="false">IF('👥 Bénéficiaires'!C26="","",'👥 Bénéficiaires'!C26&amp;" "&amp;'👥 Bénéficiaires'!D26)</f>
        <v/>
      </c>
      <c r="D23" s="34" t="str">
        <f aca="false">IF(C23="","",'📋 Saisie présences'!X25)</f>
        <v/>
      </c>
      <c r="E23" s="35" t="str">
        <f aca="false">IF(C23="","",COUNTIF('📋 Saisie présences'!D25:W25,"P"))</f>
        <v/>
      </c>
      <c r="F23" s="35" t="str">
        <f aca="false">IF(C23="","",COUNTIF('📋 Saisie présences'!D25:W25,"R"))</f>
        <v/>
      </c>
      <c r="G23" s="35" t="str">
        <f aca="false">IF(C23="","",COUNTIF('📋 Saisie présences'!D25:W25,"FOAD"))</f>
        <v/>
      </c>
      <c r="H23" s="35" t="str">
        <f aca="false">IF(C23="","",COUNTIF('📋 Saisie présences'!D25:W25,"AJ"))</f>
        <v/>
      </c>
      <c r="I23" s="35" t="str">
        <f aca="false">IF(C23="","",COUNTIF('📋 Saisie présences'!D25:W25,"ANJ"))</f>
        <v/>
      </c>
      <c r="J23" s="35" t="str">
        <f aca="false">IF(C23="","",COUNTIF('📋 Saisie présences'!D25:W25,"ABD"))</f>
        <v/>
      </c>
      <c r="K23" s="36" t="str">
        <f aca="false">IF(C23="","",IF((E23+F23+G23+I23)=0,"",(E23+F23+G23)/(E23+F23+G23+I23)))</f>
        <v/>
      </c>
      <c r="L23" s="37" t="str">
        <f aca="false">IF(C23="","",IF(J23&gt;0,"❌ ABANDON",IF(K23="","",IF(K23&lt;0.5,"🚨 Risque abandon",IF(K23&lt;0.7,"🚨 Alerte rouge",IF(K23&lt;0.85,"⚠ Alerte orange",IF(K23&lt;0.9,"Vigilance","✓ Excellente")))))))</f>
        <v/>
      </c>
    </row>
    <row r="24" customFormat="false" ht="27.75" hidden="false" customHeight="true" outlineLevel="0" collapsed="false">
      <c r="B24" s="29" t="str">
        <f aca="false">IF('👥 Bénéficiaires'!B27="","",'👥 Bénéficiaires'!B27)</f>
        <v/>
      </c>
      <c r="C24" s="30" t="str">
        <f aca="false">IF('👥 Bénéficiaires'!C27="","",'👥 Bénéficiaires'!C27&amp;" "&amp;'👥 Bénéficiaires'!D27)</f>
        <v/>
      </c>
      <c r="D24" s="34" t="str">
        <f aca="false">IF(C24="","",'📋 Saisie présences'!X26)</f>
        <v/>
      </c>
      <c r="E24" s="35" t="str">
        <f aca="false">IF(C24="","",COUNTIF('📋 Saisie présences'!D26:W26,"P"))</f>
        <v/>
      </c>
      <c r="F24" s="35" t="str">
        <f aca="false">IF(C24="","",COUNTIF('📋 Saisie présences'!D26:W26,"R"))</f>
        <v/>
      </c>
      <c r="G24" s="35" t="str">
        <f aca="false">IF(C24="","",COUNTIF('📋 Saisie présences'!D26:W26,"FOAD"))</f>
        <v/>
      </c>
      <c r="H24" s="35" t="str">
        <f aca="false">IF(C24="","",COUNTIF('📋 Saisie présences'!D26:W26,"AJ"))</f>
        <v/>
      </c>
      <c r="I24" s="35" t="str">
        <f aca="false">IF(C24="","",COUNTIF('📋 Saisie présences'!D26:W26,"ANJ"))</f>
        <v/>
      </c>
      <c r="J24" s="35" t="str">
        <f aca="false">IF(C24="","",COUNTIF('📋 Saisie présences'!D26:W26,"ABD"))</f>
        <v/>
      </c>
      <c r="K24" s="36" t="str">
        <f aca="false">IF(C24="","",IF((E24+F24+G24+I24)=0,"",(E24+F24+G24)/(E24+F24+G24+I24)))</f>
        <v/>
      </c>
      <c r="L24" s="37" t="str">
        <f aca="false">IF(C24="","",IF(J24&gt;0,"❌ ABANDON",IF(K24="","",IF(K24&lt;0.5,"🚨 Risque abandon",IF(K24&lt;0.7,"🚨 Alerte rouge",IF(K24&lt;0.85,"⚠ Alerte orange",IF(K24&lt;0.9,"Vigilance","✓ Excellente")))))))</f>
        <v/>
      </c>
    </row>
    <row r="25" customFormat="false" ht="27.75" hidden="false" customHeight="true" outlineLevel="0" collapsed="false">
      <c r="B25" s="29" t="str">
        <f aca="false">IF('👥 Bénéficiaires'!B28="","",'👥 Bénéficiaires'!B28)</f>
        <v/>
      </c>
      <c r="C25" s="30" t="str">
        <f aca="false">IF('👥 Bénéficiaires'!C28="","",'👥 Bénéficiaires'!C28&amp;" "&amp;'👥 Bénéficiaires'!D28)</f>
        <v/>
      </c>
      <c r="D25" s="34" t="str">
        <f aca="false">IF(C25="","",'📋 Saisie présences'!X27)</f>
        <v/>
      </c>
      <c r="E25" s="35" t="str">
        <f aca="false">IF(C25="","",COUNTIF('📋 Saisie présences'!D27:W27,"P"))</f>
        <v/>
      </c>
      <c r="F25" s="35" t="str">
        <f aca="false">IF(C25="","",COUNTIF('📋 Saisie présences'!D27:W27,"R"))</f>
        <v/>
      </c>
      <c r="G25" s="35" t="str">
        <f aca="false">IF(C25="","",COUNTIF('📋 Saisie présences'!D27:W27,"FOAD"))</f>
        <v/>
      </c>
      <c r="H25" s="35" t="str">
        <f aca="false">IF(C25="","",COUNTIF('📋 Saisie présences'!D27:W27,"AJ"))</f>
        <v/>
      </c>
      <c r="I25" s="35" t="str">
        <f aca="false">IF(C25="","",COUNTIF('📋 Saisie présences'!D27:W27,"ANJ"))</f>
        <v/>
      </c>
      <c r="J25" s="35" t="str">
        <f aca="false">IF(C25="","",COUNTIF('📋 Saisie présences'!D27:W27,"ABD"))</f>
        <v/>
      </c>
      <c r="K25" s="36" t="str">
        <f aca="false">IF(C25="","",IF((E25+F25+G25+I25)=0,"",(E25+F25+G25)/(E25+F25+G25+I25)))</f>
        <v/>
      </c>
      <c r="L25" s="37" t="str">
        <f aca="false">IF(C25="","",IF(J25&gt;0,"❌ ABANDON",IF(K25="","",IF(K25&lt;0.5,"🚨 Risque abandon",IF(K25&lt;0.7,"🚨 Alerte rouge",IF(K25&lt;0.85,"⚠ Alerte orange",IF(K25&lt;0.9,"Vigilance","✓ Excellente")))))))</f>
        <v/>
      </c>
    </row>
    <row r="26" customFormat="false" ht="27.75" hidden="false" customHeight="true" outlineLevel="0" collapsed="false">
      <c r="B26" s="29" t="str">
        <f aca="false">IF('👥 Bénéficiaires'!B29="","",'👥 Bénéficiaires'!B29)</f>
        <v/>
      </c>
      <c r="C26" s="30" t="str">
        <f aca="false">IF('👥 Bénéficiaires'!C29="","",'👥 Bénéficiaires'!C29&amp;" "&amp;'👥 Bénéficiaires'!D29)</f>
        <v/>
      </c>
      <c r="D26" s="34" t="str">
        <f aca="false">IF(C26="","",'📋 Saisie présences'!X28)</f>
        <v/>
      </c>
      <c r="E26" s="35" t="str">
        <f aca="false">IF(C26="","",COUNTIF('📋 Saisie présences'!D28:W28,"P"))</f>
        <v/>
      </c>
      <c r="F26" s="35" t="str">
        <f aca="false">IF(C26="","",COUNTIF('📋 Saisie présences'!D28:W28,"R"))</f>
        <v/>
      </c>
      <c r="G26" s="35" t="str">
        <f aca="false">IF(C26="","",COUNTIF('📋 Saisie présences'!D28:W28,"FOAD"))</f>
        <v/>
      </c>
      <c r="H26" s="35" t="str">
        <f aca="false">IF(C26="","",COUNTIF('📋 Saisie présences'!D28:W28,"AJ"))</f>
        <v/>
      </c>
      <c r="I26" s="35" t="str">
        <f aca="false">IF(C26="","",COUNTIF('📋 Saisie présences'!D28:W28,"ANJ"))</f>
        <v/>
      </c>
      <c r="J26" s="35" t="str">
        <f aca="false">IF(C26="","",COUNTIF('📋 Saisie présences'!D28:W28,"ABD"))</f>
        <v/>
      </c>
      <c r="K26" s="36" t="str">
        <f aca="false">IF(C26="","",IF((E26+F26+G26+I26)=0,"",(E26+F26+G26)/(E26+F26+G26+I26)))</f>
        <v/>
      </c>
      <c r="L26" s="37" t="str">
        <f aca="false">IF(C26="","",IF(J26&gt;0,"❌ ABANDON",IF(K26="","",IF(K26&lt;0.5,"🚨 Risque abandon",IF(K26&lt;0.7,"🚨 Alerte rouge",IF(K26&lt;0.85,"⚠ Alerte orange",IF(K26&lt;0.9,"Vigilance","✓ Excellente")))))))</f>
        <v/>
      </c>
    </row>
    <row r="28" customFormat="false" ht="30" hidden="false" customHeight="true" outlineLevel="0" collapsed="false">
      <c r="B28" s="38" t="s">
        <v>110</v>
      </c>
      <c r="C28" s="38"/>
      <c r="D28" s="38"/>
      <c r="E28" s="38"/>
      <c r="F28" s="38"/>
      <c r="G28" s="38"/>
      <c r="H28" s="38"/>
      <c r="I28" s="38"/>
      <c r="J28" s="38"/>
      <c r="K28" s="39" t="n">
        <f aca="false">IFERROR(AVERAGE(K7:K26),0)</f>
        <v>0.91875</v>
      </c>
      <c r="L28" s="40" t="str">
        <f aca="false">COUNTIF(L7:L26,"🚨*")+COUNTIF(L7:L26,"⚠*")&amp;" alerte(s)"</f>
        <v>1 alerte(s)</v>
      </c>
    </row>
  </sheetData>
  <mergeCells count="3">
    <mergeCell ref="B2:L2"/>
    <mergeCell ref="B3:L3"/>
    <mergeCell ref="B28:J28"/>
  </mergeCells>
  <conditionalFormatting sqref="L7:L26">
    <cfRule type="expression" priority="2" aboveAverage="0" equalAverage="0" bottom="0" percent="0" rank="0" text="" dxfId="5">
      <formula>L7="✓ Excellente"</formula>
    </cfRule>
    <cfRule type="expression" priority="3" aboveAverage="0" equalAverage="0" bottom="0" percent="0" rank="0" text="" dxfId="6">
      <formula>L7="Vigilance"</formula>
    </cfRule>
    <cfRule type="expression" priority="4" aboveAverage="0" equalAverage="0" bottom="0" percent="0" rank="0" text="" dxfId="7">
      <formula>L7="⚠ Alerte orange"</formula>
    </cfRule>
    <cfRule type="expression" priority="5" aboveAverage="0" equalAverage="0" bottom="0" percent="0" rank="0" text="" dxfId="8">
      <formula>OR(L7="🚨 Alerte rouge",L7="🚨 Risque abandon")</formula>
    </cfRule>
    <cfRule type="expression" priority="6" aboveAverage="0" equalAverage="0" bottom="0" percent="0" rank="0" text="" dxfId="9">
      <formula>L7="❌ ABANDON"</formula>
    </cfRule>
  </conditionalFormatting>
  <conditionalFormatting sqref="K7:K26">
    <cfRule type="cellIs" priority="7" operator="greaterThanOrEqual" aboveAverage="0" equalAverage="0" bottom="0" percent="0" rank="0" text="" dxfId="0">
      <formula>0.9</formula>
    </cfRule>
    <cfRule type="cellIs" priority="8" operator="between" aboveAverage="0" equalAverage="0" bottom="0" percent="0" rank="0" text="" dxfId="2">
      <formula>0.85</formula>
      <formula>0.8999</formula>
    </cfRule>
    <cfRule type="cellIs" priority="9" operator="between" aboveAverage="0" equalAverage="0" bottom="0" percent="0" rank="0" text="" dxfId="1">
      <formula>0.7</formula>
      <formula>0.8499</formula>
    </cfRule>
    <cfRule type="cellIs" priority="10" operator="lessThan" aboveAverage="0" equalAverage="0" bottom="0" percent="0" rank="0" text="" dxfId="3">
      <formula>0.7</formula>
    </cfRule>
  </conditionalFormatting>
  <printOptions headings="false" gridLines="false" gridLinesSet="true" horizontalCentered="true" verticalCentered="false"/>
  <pageMargins left="0.4" right="0.4" top="0.6" bottom="0.6" header="0.511811023622047" footer="0.3"/>
  <pageSetup paperSize="9" scale="100" fitToWidth="1" fitToHeight="0" pageOrder="downThenOver" orientation="landscape" blackAndWhite="false" draft="false" cellComments="none" horizontalDpi="300" verticalDpi="300" copies="1"/>
  <headerFooter differentFirst="false" differentOddEven="false">
    <oddHeader/>
    <oddFooter>&amp;C&amp;9 &amp;K888780M27 — Suivi assiduité alerte abandon  ·  &amp;A  ·  Page &amp;P /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H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0"/>
    <col collapsed="false" customWidth="true" hidden="false" outlineLevel="0" max="3" min="3" style="0" width="18"/>
    <col collapsed="false" customWidth="true" hidden="false" outlineLevel="0" max="4" min="4" style="0" width="22"/>
    <col collapsed="false" customWidth="true" hidden="false" outlineLevel="0" max="5" min="5" style="0" width="28"/>
    <col collapsed="false" customWidth="true" hidden="false" outlineLevel="0" max="6" min="6" style="0" width="16"/>
    <col collapsed="false" customWidth="true" hidden="false" outlineLevel="0" max="7" min="7" style="0" width="20"/>
    <col collapsed="false" customWidth="true" hidden="false" outlineLevel="0" max="8" min="8" style="0" width="18"/>
    <col collapsed="false" customWidth="true" hidden="false" outlineLevel="0" max="9" min="9" style="0" width="2"/>
  </cols>
  <sheetData>
    <row r="2" customFormat="false" ht="30" hidden="false" customHeight="true" outlineLevel="0" collapsed="false">
      <c r="B2" s="18" t="s">
        <v>111</v>
      </c>
      <c r="C2" s="18"/>
      <c r="D2" s="18"/>
      <c r="E2" s="18"/>
      <c r="F2" s="18"/>
      <c r="G2" s="18"/>
      <c r="H2" s="18"/>
    </row>
    <row r="3" customFormat="false" ht="19.5" hidden="false" customHeight="true" outlineLevel="0" collapsed="false">
      <c r="B3" s="19" t="s">
        <v>112</v>
      </c>
      <c r="C3" s="19"/>
      <c r="D3" s="19"/>
      <c r="E3" s="19"/>
      <c r="F3" s="19"/>
      <c r="G3" s="19"/>
      <c r="H3" s="19"/>
    </row>
    <row r="4" customFormat="false" ht="6" hidden="false" customHeight="true" outlineLevel="0" collapsed="false">
      <c r="B4" s="3"/>
      <c r="C4" s="3"/>
      <c r="D4" s="3"/>
      <c r="E4" s="3"/>
      <c r="F4" s="3"/>
      <c r="G4" s="3"/>
      <c r="H4" s="3"/>
    </row>
    <row r="6" customFormat="false" ht="24" hidden="false" customHeight="true" outlineLevel="0" collapsed="false">
      <c r="B6" s="41" t="s">
        <v>113</v>
      </c>
      <c r="C6" s="41"/>
      <c r="D6" s="41"/>
      <c r="E6" s="41"/>
      <c r="F6" s="41"/>
      <c r="G6" s="41"/>
      <c r="H6" s="41"/>
    </row>
    <row r="7" customFormat="false" ht="30" hidden="false" customHeight="true" outlineLevel="0" collapsed="false">
      <c r="B7" s="22" t="s">
        <v>114</v>
      </c>
      <c r="C7" s="22" t="s">
        <v>115</v>
      </c>
      <c r="D7" s="22"/>
      <c r="E7" s="22" t="s">
        <v>116</v>
      </c>
      <c r="F7" s="22" t="s">
        <v>117</v>
      </c>
      <c r="G7" s="22"/>
      <c r="H7" s="22"/>
    </row>
    <row r="8" customFormat="false" ht="55.5" hidden="false" customHeight="true" outlineLevel="0" collapsed="false">
      <c r="B8" s="42" t="s">
        <v>118</v>
      </c>
      <c r="C8" s="43" t="s">
        <v>119</v>
      </c>
      <c r="D8" s="43"/>
      <c r="E8" s="43" t="s">
        <v>120</v>
      </c>
      <c r="F8" s="44" t="s">
        <v>121</v>
      </c>
      <c r="G8" s="44"/>
      <c r="H8" s="44"/>
    </row>
    <row r="9" customFormat="false" ht="55.5" hidden="false" customHeight="true" outlineLevel="0" collapsed="false">
      <c r="B9" s="42" t="s">
        <v>122</v>
      </c>
      <c r="C9" s="43" t="s">
        <v>123</v>
      </c>
      <c r="D9" s="43"/>
      <c r="E9" s="43" t="s">
        <v>124</v>
      </c>
      <c r="F9" s="44" t="s">
        <v>125</v>
      </c>
      <c r="G9" s="44"/>
      <c r="H9" s="44"/>
    </row>
    <row r="10" customFormat="false" ht="55.5" hidden="false" customHeight="true" outlineLevel="0" collapsed="false">
      <c r="B10" s="42" t="s">
        <v>126</v>
      </c>
      <c r="C10" s="43" t="s">
        <v>127</v>
      </c>
      <c r="D10" s="43"/>
      <c r="E10" s="43" t="s">
        <v>128</v>
      </c>
      <c r="F10" s="44" t="s">
        <v>129</v>
      </c>
      <c r="G10" s="44"/>
      <c r="H10" s="44"/>
    </row>
    <row r="13" customFormat="false" ht="24" hidden="false" customHeight="true" outlineLevel="0" collapsed="false">
      <c r="B13" s="41" t="s">
        <v>130</v>
      </c>
      <c r="C13" s="41"/>
      <c r="D13" s="41"/>
      <c r="E13" s="41"/>
      <c r="F13" s="41"/>
      <c r="G13" s="41"/>
      <c r="H13" s="41"/>
    </row>
    <row r="14" customFormat="false" ht="30" hidden="false" customHeight="true" outlineLevel="0" collapsed="false">
      <c r="B14" s="22" t="s">
        <v>131</v>
      </c>
      <c r="C14" s="22" t="s">
        <v>106</v>
      </c>
      <c r="D14" s="22" t="s">
        <v>114</v>
      </c>
      <c r="E14" s="22" t="s">
        <v>132</v>
      </c>
      <c r="F14" s="22" t="s">
        <v>133</v>
      </c>
      <c r="G14" s="22" t="s">
        <v>134</v>
      </c>
      <c r="H14" s="22" t="s">
        <v>135</v>
      </c>
    </row>
    <row r="15" customFormat="false" ht="49.5" hidden="false" customHeight="true" outlineLevel="0" collapsed="false">
      <c r="B15" s="45" t="s">
        <v>136</v>
      </c>
      <c r="C15" s="45" t="s">
        <v>137</v>
      </c>
      <c r="D15" s="45" t="s">
        <v>118</v>
      </c>
      <c r="E15" s="45" t="s">
        <v>138</v>
      </c>
      <c r="F15" s="45" t="s">
        <v>139</v>
      </c>
      <c r="G15" s="45" t="s">
        <v>140</v>
      </c>
      <c r="H15" s="45" t="s">
        <v>141</v>
      </c>
    </row>
    <row r="16" customFormat="false" ht="49.5" hidden="false" customHeight="true" outlineLevel="0" collapsed="false">
      <c r="B16" s="45" t="s">
        <v>142</v>
      </c>
      <c r="C16" s="45" t="s">
        <v>137</v>
      </c>
      <c r="D16" s="45" t="s">
        <v>122</v>
      </c>
      <c r="E16" s="45" t="s">
        <v>143</v>
      </c>
      <c r="F16" s="45" t="s">
        <v>144</v>
      </c>
      <c r="G16" s="45" t="s">
        <v>145</v>
      </c>
      <c r="H16" s="45" t="s">
        <v>146</v>
      </c>
    </row>
    <row r="17" customFormat="false" ht="49.5" hidden="false" customHeight="true" outlineLevel="0" collapsed="false">
      <c r="B17" s="45" t="s">
        <v>147</v>
      </c>
      <c r="C17" s="45" t="s">
        <v>148</v>
      </c>
      <c r="D17" s="45" t="s">
        <v>126</v>
      </c>
      <c r="E17" s="45" t="s">
        <v>149</v>
      </c>
      <c r="F17" s="45" t="s">
        <v>150</v>
      </c>
      <c r="G17" s="45" t="s">
        <v>151</v>
      </c>
      <c r="H17" s="45" t="s">
        <v>152</v>
      </c>
    </row>
    <row r="18" customFormat="false" ht="30" hidden="false" customHeight="true" outlineLevel="0" collapsed="false">
      <c r="B18" s="46"/>
      <c r="C18" s="46"/>
      <c r="D18" s="46"/>
      <c r="E18" s="46"/>
      <c r="F18" s="46"/>
      <c r="G18" s="46"/>
      <c r="H18" s="46"/>
    </row>
    <row r="19" customFormat="false" ht="30" hidden="false" customHeight="true" outlineLevel="0" collapsed="false">
      <c r="B19" s="46"/>
      <c r="C19" s="46"/>
      <c r="D19" s="46"/>
      <c r="E19" s="46"/>
      <c r="F19" s="46"/>
      <c r="G19" s="46"/>
      <c r="H19" s="46"/>
    </row>
    <row r="20" customFormat="false" ht="30" hidden="false" customHeight="true" outlineLevel="0" collapsed="false">
      <c r="B20" s="46"/>
      <c r="C20" s="46"/>
      <c r="D20" s="46"/>
      <c r="E20" s="46"/>
      <c r="F20" s="46"/>
      <c r="G20" s="46"/>
      <c r="H20" s="46"/>
    </row>
    <row r="21" customFormat="false" ht="30" hidden="false" customHeight="true" outlineLevel="0" collapsed="false">
      <c r="B21" s="46"/>
      <c r="C21" s="46"/>
      <c r="D21" s="46"/>
      <c r="E21" s="46"/>
      <c r="F21" s="46"/>
      <c r="G21" s="46"/>
      <c r="H21" s="46"/>
    </row>
    <row r="22" customFormat="false" ht="30" hidden="false" customHeight="true" outlineLevel="0" collapsed="false">
      <c r="B22" s="46"/>
      <c r="C22" s="46"/>
      <c r="D22" s="46"/>
      <c r="E22" s="46"/>
      <c r="F22" s="46"/>
      <c r="G22" s="46"/>
      <c r="H22" s="46"/>
    </row>
    <row r="23" customFormat="false" ht="30" hidden="false" customHeight="true" outlineLevel="0" collapsed="false">
      <c r="B23" s="46"/>
      <c r="C23" s="46"/>
      <c r="D23" s="46"/>
      <c r="E23" s="46"/>
      <c r="F23" s="46"/>
      <c r="G23" s="46"/>
      <c r="H23" s="46"/>
    </row>
    <row r="24" customFormat="false" ht="30" hidden="false" customHeight="true" outlineLevel="0" collapsed="false">
      <c r="B24" s="46"/>
      <c r="C24" s="46"/>
      <c r="D24" s="46"/>
      <c r="E24" s="46"/>
      <c r="F24" s="46"/>
      <c r="G24" s="46"/>
      <c r="H24" s="46"/>
    </row>
    <row r="25" customFormat="false" ht="30" hidden="false" customHeight="true" outlineLevel="0" collapsed="false">
      <c r="B25" s="46"/>
      <c r="C25" s="46"/>
      <c r="D25" s="46"/>
      <c r="E25" s="46"/>
      <c r="F25" s="46"/>
      <c r="G25" s="46"/>
      <c r="H25" s="46"/>
    </row>
    <row r="26" customFormat="false" ht="30" hidden="false" customHeight="true" outlineLevel="0" collapsed="false">
      <c r="B26" s="46"/>
      <c r="C26" s="46"/>
      <c r="D26" s="46"/>
      <c r="E26" s="46"/>
      <c r="F26" s="46"/>
      <c r="G26" s="46"/>
      <c r="H26" s="46"/>
    </row>
    <row r="27" customFormat="false" ht="30" hidden="false" customHeight="true" outlineLevel="0" collapsed="false">
      <c r="B27" s="46"/>
      <c r="C27" s="46"/>
      <c r="D27" s="46"/>
      <c r="E27" s="46"/>
      <c r="F27" s="46"/>
      <c r="G27" s="46"/>
      <c r="H27" s="46"/>
    </row>
    <row r="28" customFormat="false" ht="30" hidden="false" customHeight="true" outlineLevel="0" collapsed="false">
      <c r="B28" s="46"/>
      <c r="C28" s="46"/>
      <c r="D28" s="46"/>
      <c r="E28" s="46"/>
      <c r="F28" s="46"/>
      <c r="G28" s="46"/>
      <c r="H28" s="46"/>
    </row>
    <row r="29" customFormat="false" ht="30" hidden="false" customHeight="true" outlineLevel="0" collapsed="false">
      <c r="B29" s="46"/>
      <c r="C29" s="46"/>
      <c r="D29" s="46"/>
      <c r="E29" s="46"/>
      <c r="F29" s="46"/>
      <c r="G29" s="46"/>
      <c r="H29" s="46"/>
    </row>
    <row r="31" customFormat="false" ht="49.5" hidden="false" customHeight="true" outlineLevel="0" collapsed="false">
      <c r="B31" s="16" t="s">
        <v>153</v>
      </c>
      <c r="C31" s="17" t="s">
        <v>154</v>
      </c>
      <c r="D31" s="17"/>
      <c r="E31" s="17"/>
      <c r="F31" s="17"/>
      <c r="G31" s="17"/>
      <c r="H31" s="17"/>
    </row>
  </sheetData>
  <mergeCells count="13">
    <mergeCell ref="B2:H2"/>
    <mergeCell ref="B3:H3"/>
    <mergeCell ref="B6:H6"/>
    <mergeCell ref="C7:D7"/>
    <mergeCell ref="F7:H7"/>
    <mergeCell ref="C8:D8"/>
    <mergeCell ref="F8:H8"/>
    <mergeCell ref="C9:D9"/>
    <mergeCell ref="F9:H9"/>
    <mergeCell ref="C10:D10"/>
    <mergeCell ref="F10:H10"/>
    <mergeCell ref="B13:H13"/>
    <mergeCell ref="C31:H31"/>
  </mergeCells>
  <printOptions headings="false" gridLines="false" gridLinesSet="true" horizontalCentered="true" verticalCentered="false"/>
  <pageMargins left="0.4" right="0.4" top="0.6" bottom="0.6" header="0.511811023622047" footer="0.3"/>
  <pageSetup paperSize="9" scale="100" fitToWidth="1" fitToHeight="0" pageOrder="downThenOver" orientation="landscape" blackAndWhite="false" draft="false" cellComments="none" horizontalDpi="300" verticalDpi="300" copies="1"/>
  <headerFooter differentFirst="false" differentOddEven="false">
    <oddHeader/>
    <oddFooter>&amp;C&amp;9 &amp;K888780M27 — Suivi assiduité alerte abandon  ·  &amp;A  ·  Page &amp;P /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2026-05-14T13:47:32Z</dcterms:created>
  <dc:creator>openpyxl</dc:creator>
  <dc:description/>
  <dc:language>en-US</dc:language>
  <cp:lastModifiedBy/>
  <dcterms:modified xsi:type="dcterms:W3CDTF">2026-05-14T13:47:32Z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