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👥 Annuaire équipe" sheetId="2" state="visible" r:id="rId4"/>
    <sheet name="📊 Matrice compétences" sheetId="3" state="visible" r:id="rId5"/>
    <sheet name="📋 Synthèse couvertu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<sst xmlns="http://schemas.openxmlformats.org/spreadsheetml/2006/main" count="178" uniqueCount="84">
  <si>
    <t xml:space="preserve">MATRICE « QUI FORME SUR QUOI »</t>
  </si>
  <si>
    <t xml:space="preserve">Modèle M39 — Vue d'ensemble équipe/modules — Ind. 21 (Majeure)</t>
  </si>
  <si>
    <t xml:space="preserve">À QUOI SERT CE DOCUMENT</t>
  </si>
  <si>
    <t xml:space="preserve">Matrice croisée intervenants × modules/actions. C'est LE document que l'auditeur scrute en premier (« 80% des questions évitées » — PDF officiel). Pour chaque case : niveau de maîtrise et habilitation. Permet de croiser visuellement les compétences disponibles et les prestations proposées au catalogue.</t>
  </si>
  <si>
    <t xml:space="preserve">STRUCTURE DU CLASSEUR</t>
  </si>
  <si>
    <t xml:space="preserve">👥 Annuaire équipe</t>
  </si>
  <si>
    <t xml:space="preserve">Liste exhaustive des intervenants — statut, dossier à jour, certifications.</t>
  </si>
  <si>
    <t xml:space="preserve">📊 Matrice compétences</t>
  </si>
  <si>
    <t xml:space="preserve">Croisé intervenants × modules — niveau de maîtrise par case.</t>
  </si>
  <si>
    <t xml:space="preserve">📋 Synthèse couverture</t>
  </si>
  <si>
    <t xml:space="preserve">Vue d'ensemble : quels modules sont bien couverts, lesquels sont à risque (1 seul formateur).</t>
  </si>
  <si>
    <t xml:space="preserve">LÉGENDE — NIVEAU DE MAÎTRISE</t>
  </si>
  <si>
    <t xml:space="preserve">◉ Référent</t>
  </si>
  <si>
    <t xml:space="preserve">Maîtrise experte — peut concevoir, animer, évaluer, former d'autres formateurs</t>
  </si>
  <si>
    <t xml:space="preserve">● Habilité</t>
  </si>
  <si>
    <t xml:space="preserve">Maîtrise opérationnelle — anime en autonomie en respectant le cadre validé</t>
  </si>
  <si>
    <t xml:space="preserve">◐ En cours</t>
  </si>
  <si>
    <t xml:space="preserve">En période d'intégration — anime en co-animation ou supervision</t>
  </si>
  <si>
    <t xml:space="preserve">○ Non habilité</t>
  </si>
  <si>
    <t xml:space="preserve">Pas d'habilitation pour ce module</t>
  </si>
  <si>
    <t xml:space="preserve">💡 Ind. 21</t>
  </si>
  <si>
    <t xml:space="preserve">« Tenez une matrice « qui forme sur quoi » sous forme de tableau : c'est le document que l'auditeur scrute en premier. Une matrice claire évite 80 % des questions. » — Citation directe du PDF officiel. Obligatoire pour les équipes &gt;3 personnes. Mise à jour à chaque évolution équipe.</t>
  </si>
  <si>
    <t xml:space="preserve">👥 ANNUAIRE DE L'ÉQUIPE PÉDAGOGIQUE</t>
  </si>
  <si>
    <t xml:space="preserve">Liste exhaustive des intervenants — salariés + sous-traitants</t>
  </si>
  <si>
    <t xml:space="preserve">N°</t>
  </si>
  <si>
    <t xml:space="preserve">Nom Prénom</t>
  </si>
  <si>
    <t xml:space="preserve">Statut</t>
  </si>
  <si>
    <t xml:space="preserve">Fonction</t>
  </si>
  <si>
    <t xml:space="preserve">Entré le</t>
  </si>
  <si>
    <t xml:space="preserve">CV à jour</t>
  </si>
  <si>
    <t xml:space="preserve">Qualiopi (si ST)</t>
  </si>
  <si>
    <t xml:space="preserve">RC Pro valide</t>
  </si>
  <si>
    <t xml:space="preserve">01</t>
  </si>
  <si>
    <t xml:space="preserve">DUBOIS Claire</t>
  </si>
  <si>
    <t xml:space="preserve">Salarié CDI</t>
  </si>
  <si>
    <t xml:space="preserve">Responsable pédagogique</t>
  </si>
  <si>
    <t xml:space="preserve">01/09/22</t>
  </si>
  <si>
    <t xml:space="preserve">✓ Oui</t>
  </si>
  <si>
    <t xml:space="preserve">N/A</t>
  </si>
  <si>
    <t xml:space="preserve">02</t>
  </si>
  <si>
    <t xml:space="preserve">MARTIN Olivier</t>
  </si>
  <si>
    <t xml:space="preserve">Formateur sénior</t>
  </si>
  <si>
    <t xml:space="preserve">15/01/23</t>
  </si>
  <si>
    <t xml:space="preserve">03</t>
  </si>
  <si>
    <t xml:space="preserve">BERNARD Sophie</t>
  </si>
  <si>
    <t xml:space="preserve">Sous-traitant</t>
  </si>
  <si>
    <t xml:space="preserve">Formatrice BC</t>
  </si>
  <si>
    <t xml:space="preserve">01/03/24</t>
  </si>
  <si>
    <t xml:space="preserve">04</t>
  </si>
  <si>
    <t xml:space="preserve">LEROY Marc</t>
  </si>
  <si>
    <t xml:space="preserve">Indépendant</t>
  </si>
  <si>
    <t xml:space="preserve">Formateur expert</t>
  </si>
  <si>
    <t xml:space="preserve">10/09/24</t>
  </si>
  <si>
    <t xml:space="preserve">05</t>
  </si>
  <si>
    <t xml:space="preserve">PETIT Marie</t>
  </si>
  <si>
    <t xml:space="preserve">Accompagnatrice VAE</t>
  </si>
  <si>
    <t xml:space="preserve">05/01/25</t>
  </si>
  <si>
    <t xml:space="preserve">Régime micro</t>
  </si>
  <si>
    <t xml:space="preserve">📊 MATRICE COMPÉTENCES — Modules × Intervenants</t>
  </si>
  <si>
    <t xml:space="preserve">Saisir le niveau de maîtrise dans chaque case (◉ Référent · ● Habilité · ◐ En cours · ○ Non habilité)</t>
  </si>
  <si>
    <t xml:space="preserve">MODULE / ACTION</t>
  </si>
  <si>
    <t xml:space="preserve">AF — Communication interpersonnelle</t>
  </si>
  <si>
    <t xml:space="preserve">AF — Gestion du stress et bien-être au travail</t>
  </si>
  <si>
    <t xml:space="preserve">AF — Management de proximité</t>
  </si>
  <si>
    <t xml:space="preserve">AF — Pack Office (Excel, Word, PowerPoint)</t>
  </si>
  <si>
    <t xml:space="preserve">BC — Bilan de compétences (phase préliminaire)</t>
  </si>
  <si>
    <t xml:space="preserve">BC — Bilan de compétences (phase investigation)</t>
  </si>
  <si>
    <t xml:space="preserve">BC — Bilan de compétences (phase conclusion)</t>
  </si>
  <si>
    <t xml:space="preserve">VAE — Accompagnement candidat VAE</t>
  </si>
  <si>
    <t xml:space="preserve">CFA — BTS [ Intitulé ] · Bloc 1</t>
  </si>
  <si>
    <t xml:space="preserve">CFA — BTS [ Intitulé ] · Bloc 2</t>
  </si>
  <si>
    <t xml:space="preserve">📋 SYNTHÈSE DE LA COUVERTURE PÉDAGOGIQUE</t>
  </si>
  <si>
    <t xml:space="preserve">Analyse module par module : suffisance de la couverture + alertes mono-formateur</t>
  </si>
  <si>
    <t xml:space="preserve">Module / Action</t>
  </si>
  <si>
    <t xml:space="preserve">Nb référents</t>
  </si>
  <si>
    <t xml:space="preserve">Nb habilités</t>
  </si>
  <si>
    <t xml:space="preserve">Statut couverture</t>
  </si>
  <si>
    <t xml:space="preserve">🎯 INDICATEURS GLOBAUX</t>
  </si>
  <si>
    <t xml:space="preserve">Modules à couverture OK (≥ 2 habilités)</t>
  </si>
  <si>
    <t xml:space="preserve">Modules à risque mono-formateur (1 seul)</t>
  </si>
  <si>
    <t xml:space="preserve">Modules non couverts (0 habilité)</t>
  </si>
  <si>
    <t xml:space="preserve">Taux de couverture (modules ≥ 2 habilités)</t>
  </si>
  <si>
    <t xml:space="preserve">💡 Lecture</t>
  </si>
  <si>
    <t xml:space="preserve">Idéal : ≥ 2 personnes habilitées par module (continuité en cas d'absence). Mono-formateur = risque opérationnel ET d'audit. Module non couvert dans la matrice mais affiché au catalogue = NC majeure quasi certaine.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</si>
</sst>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11"/>
      <color rgb="FF2C2C2A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1"/>
      <color rgb="FF0F2A47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12"/>
      <color rgb="FF0F2A47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D8EBC2"/>
        <bgColor rgb="FFE8E8E8"/>
      </patternFill>
    </fill>
    <fill>
      <patternFill patternType="solid">
        <fgColor rgb="FFF7DCB8"/>
        <bgColor rgb="FFF5C7C0"/>
      </patternFill>
    </fill>
    <fill>
      <patternFill patternType="solid">
        <fgColor rgb="FFE8E8E8"/>
        <bgColor rgb="FFF1EFE8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F1EFE8"/>
        <bgColor rgb="FFFAEED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  <dxf>
      <fill>
        <patternFill>
          <bgColor rgb="FFE8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8EBC2"/>
      <rgbColor rgb="FFF7DCB8"/>
      <rgbColor rgb="FFFBFAF6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6" hidden="false" customHeight="true" outlineLevel="0" collapsed="false">
      <c r="B10" s="6" t="s">
        <v>5</v>
      </c>
      <c r="C10" s="7" t="s">
        <v>6</v>
      </c>
    </row>
    <row r="11" customFormat="false" ht="36" hidden="false" customHeight="true" outlineLevel="0" collapsed="false">
      <c r="B11" s="6" t="s">
        <v>7</v>
      </c>
      <c r="C11" s="7" t="s">
        <v>8</v>
      </c>
    </row>
    <row r="12" customFormat="false" ht="36" hidden="false" customHeight="true" outlineLevel="0" collapsed="false">
      <c r="B12" s="6" t="s">
        <v>9</v>
      </c>
      <c r="C12" s="7" t="s">
        <v>10</v>
      </c>
    </row>
    <row r="14" customFormat="false" ht="21.75" hidden="false" customHeight="true" outlineLevel="0" collapsed="false">
      <c r="B14" s="4" t="s">
        <v>11</v>
      </c>
      <c r="C14" s="4"/>
    </row>
    <row r="15" customFormat="false" ht="25.5" hidden="false" customHeight="true" outlineLevel="0" collapsed="false">
      <c r="B15" s="8" t="s">
        <v>12</v>
      </c>
      <c r="C15" s="7" t="s">
        <v>13</v>
      </c>
    </row>
    <row r="16" customFormat="false" ht="25.5" hidden="false" customHeight="true" outlineLevel="0" collapsed="false">
      <c r="B16" s="8" t="s">
        <v>14</v>
      </c>
      <c r="C16" s="7" t="s">
        <v>15</v>
      </c>
    </row>
    <row r="17" customFormat="false" ht="25.5" hidden="false" customHeight="true" outlineLevel="0" collapsed="false">
      <c r="B17" s="9" t="s">
        <v>16</v>
      </c>
      <c r="C17" s="7" t="s">
        <v>17</v>
      </c>
    </row>
    <row r="18" customFormat="false" ht="25.5" hidden="false" customHeight="true" outlineLevel="0" collapsed="false">
      <c r="B18" s="10" t="s">
        <v>18</v>
      </c>
      <c r="C18" s="7" t="s">
        <v>19</v>
      </c>
    </row>
    <row r="20" customFormat="false" ht="60" hidden="false" customHeight="true" outlineLevel="0" collapsed="false">
      <c r="B20" s="11" t="s">
        <v>20</v>
      </c>
      <c r="C20" s="12" t="s">
        <v>21</v>
      </c>
    </row>
  </sheetData>
  <mergeCells count="5">
    <mergeCell ref="B2:C2"/>
    <mergeCell ref="B3:C3"/>
    <mergeCell ref="B6:C6"/>
    <mergeCell ref="B9:C9"/>
    <mergeCell ref="B14:C14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&amp;K888780M39 — Matrice compétences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3" t="s">
        <v>22</v>
      </c>
      <c r="C2" s="13"/>
      <c r="D2" s="13"/>
      <c r="E2" s="13"/>
      <c r="F2" s="13"/>
      <c r="G2" s="13"/>
      <c r="H2" s="13"/>
      <c r="I2" s="13"/>
    </row>
    <row r="3" customFormat="false" ht="19.5" hidden="false" customHeight="true" outlineLevel="0" collapsed="false">
      <c r="B3" s="14" t="s">
        <v>23</v>
      </c>
      <c r="C3" s="14"/>
      <c r="D3" s="14"/>
      <c r="E3" s="14"/>
      <c r="F3" s="14"/>
      <c r="G3" s="14"/>
      <c r="H3" s="14"/>
      <c r="I3" s="14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30" hidden="false" customHeight="true" outlineLevel="0" collapsed="false">
      <c r="B6" s="15" t="s">
        <v>24</v>
      </c>
      <c r="C6" s="15" t="s">
        <v>25</v>
      </c>
      <c r="D6" s="15" t="s">
        <v>26</v>
      </c>
      <c r="E6" s="15" t="s">
        <v>27</v>
      </c>
      <c r="F6" s="15" t="s">
        <v>28</v>
      </c>
      <c r="G6" s="15" t="s">
        <v>29</v>
      </c>
      <c r="H6" s="15" t="s">
        <v>30</v>
      </c>
      <c r="I6" s="15" t="s">
        <v>31</v>
      </c>
    </row>
    <row r="7" customFormat="false" ht="24" hidden="false" customHeight="true" outlineLevel="0" collapsed="false">
      <c r="B7" s="16" t="s">
        <v>32</v>
      </c>
      <c r="C7" s="17" t="s">
        <v>33</v>
      </c>
      <c r="D7" s="17" t="s">
        <v>34</v>
      </c>
      <c r="E7" s="17" t="s">
        <v>35</v>
      </c>
      <c r="F7" s="16" t="s">
        <v>36</v>
      </c>
      <c r="G7" s="16" t="s">
        <v>37</v>
      </c>
      <c r="H7" s="16" t="s">
        <v>38</v>
      </c>
      <c r="I7" s="16" t="s">
        <v>37</v>
      </c>
    </row>
    <row r="8" customFormat="false" ht="24" hidden="false" customHeight="true" outlineLevel="0" collapsed="false">
      <c r="B8" s="16" t="s">
        <v>39</v>
      </c>
      <c r="C8" s="17" t="s">
        <v>40</v>
      </c>
      <c r="D8" s="17" t="s">
        <v>34</v>
      </c>
      <c r="E8" s="17" t="s">
        <v>41</v>
      </c>
      <c r="F8" s="16" t="s">
        <v>42</v>
      </c>
      <c r="G8" s="16" t="s">
        <v>37</v>
      </c>
      <c r="H8" s="16" t="s">
        <v>38</v>
      </c>
      <c r="I8" s="16" t="s">
        <v>37</v>
      </c>
    </row>
    <row r="9" customFormat="false" ht="24" hidden="false" customHeight="true" outlineLevel="0" collapsed="false">
      <c r="B9" s="16" t="s">
        <v>43</v>
      </c>
      <c r="C9" s="17" t="s">
        <v>44</v>
      </c>
      <c r="D9" s="17" t="s">
        <v>45</v>
      </c>
      <c r="E9" s="17" t="s">
        <v>46</v>
      </c>
      <c r="F9" s="16" t="s">
        <v>47</v>
      </c>
      <c r="G9" s="16" t="s">
        <v>37</v>
      </c>
      <c r="H9" s="16" t="s">
        <v>37</v>
      </c>
      <c r="I9" s="16" t="s">
        <v>37</v>
      </c>
    </row>
    <row r="10" customFormat="false" ht="24" hidden="false" customHeight="true" outlineLevel="0" collapsed="false">
      <c r="B10" s="16" t="s">
        <v>48</v>
      </c>
      <c r="C10" s="17" t="s">
        <v>49</v>
      </c>
      <c r="D10" s="17" t="s">
        <v>50</v>
      </c>
      <c r="E10" s="17" t="s">
        <v>51</v>
      </c>
      <c r="F10" s="16" t="s">
        <v>52</v>
      </c>
      <c r="G10" s="16" t="s">
        <v>37</v>
      </c>
      <c r="H10" s="16" t="s">
        <v>37</v>
      </c>
      <c r="I10" s="16" t="s">
        <v>37</v>
      </c>
    </row>
    <row r="11" customFormat="false" ht="24" hidden="false" customHeight="true" outlineLevel="0" collapsed="false">
      <c r="B11" s="16" t="s">
        <v>53</v>
      </c>
      <c r="C11" s="17" t="s">
        <v>54</v>
      </c>
      <c r="D11" s="17" t="s">
        <v>45</v>
      </c>
      <c r="E11" s="17" t="s">
        <v>55</v>
      </c>
      <c r="F11" s="16" t="s">
        <v>56</v>
      </c>
      <c r="G11" s="16" t="s">
        <v>37</v>
      </c>
      <c r="H11" s="16" t="s">
        <v>57</v>
      </c>
      <c r="I11" s="16" t="s">
        <v>37</v>
      </c>
    </row>
    <row r="12" customFormat="false" ht="24" hidden="false" customHeight="true" outlineLevel="0" collapsed="false">
      <c r="B12" s="18"/>
      <c r="C12" s="19"/>
      <c r="D12" s="18"/>
      <c r="E12" s="19"/>
      <c r="F12" s="18"/>
      <c r="G12" s="18"/>
      <c r="H12" s="18"/>
      <c r="I12" s="18"/>
    </row>
    <row r="13" customFormat="false" ht="24" hidden="false" customHeight="true" outlineLevel="0" collapsed="false">
      <c r="B13" s="18"/>
      <c r="C13" s="19"/>
      <c r="D13" s="18"/>
      <c r="E13" s="19"/>
      <c r="F13" s="18"/>
      <c r="G13" s="18"/>
      <c r="H13" s="18"/>
      <c r="I13" s="18"/>
    </row>
    <row r="14" customFormat="false" ht="24" hidden="false" customHeight="true" outlineLevel="0" collapsed="false">
      <c r="B14" s="18"/>
      <c r="C14" s="19"/>
      <c r="D14" s="18"/>
      <c r="E14" s="19"/>
      <c r="F14" s="18"/>
      <c r="G14" s="18"/>
      <c r="H14" s="18"/>
      <c r="I14" s="18"/>
    </row>
    <row r="15" customFormat="false" ht="24" hidden="false" customHeight="true" outlineLevel="0" collapsed="false">
      <c r="B15" s="18"/>
      <c r="C15" s="19"/>
      <c r="D15" s="18"/>
      <c r="E15" s="19"/>
      <c r="F15" s="18"/>
      <c r="G15" s="18"/>
      <c r="H15" s="18"/>
      <c r="I15" s="18"/>
    </row>
    <row r="16" customFormat="false" ht="24" hidden="false" customHeight="true" outlineLevel="0" collapsed="false">
      <c r="B16" s="18"/>
      <c r="C16" s="19"/>
      <c r="D16" s="18"/>
      <c r="E16" s="19"/>
      <c r="F16" s="18"/>
      <c r="G16" s="18"/>
      <c r="H16" s="18"/>
      <c r="I16" s="18"/>
    </row>
    <row r="17" customFormat="false" ht="24" hidden="false" customHeight="true" outlineLevel="0" collapsed="false">
      <c r="B17" s="18"/>
      <c r="C17" s="19"/>
      <c r="D17" s="18"/>
      <c r="E17" s="19"/>
      <c r="F17" s="18"/>
      <c r="G17" s="18"/>
      <c r="H17" s="18"/>
      <c r="I17" s="18"/>
    </row>
    <row r="18" customFormat="false" ht="24" hidden="false" customHeight="true" outlineLevel="0" collapsed="false">
      <c r="B18" s="18"/>
      <c r="C18" s="19"/>
      <c r="D18" s="18"/>
      <c r="E18" s="19"/>
      <c r="F18" s="18"/>
      <c r="G18" s="18"/>
      <c r="H18" s="18"/>
      <c r="I18" s="18"/>
    </row>
    <row r="19" customFormat="false" ht="24" hidden="false" customHeight="true" outlineLevel="0" collapsed="false">
      <c r="B19" s="18"/>
      <c r="C19" s="19"/>
      <c r="D19" s="18"/>
      <c r="E19" s="19"/>
      <c r="F19" s="18"/>
      <c r="G19" s="18"/>
      <c r="H19" s="18"/>
      <c r="I19" s="18"/>
    </row>
    <row r="20" customFormat="false" ht="24" hidden="false" customHeight="true" outlineLevel="0" collapsed="false">
      <c r="B20" s="18"/>
      <c r="C20" s="19"/>
      <c r="D20" s="18"/>
      <c r="E20" s="19"/>
      <c r="F20" s="18"/>
      <c r="G20" s="18"/>
      <c r="H20" s="18"/>
      <c r="I20" s="18"/>
    </row>
    <row r="21" customFormat="false" ht="24" hidden="false" customHeight="true" outlineLevel="0" collapsed="false">
      <c r="B21" s="18"/>
      <c r="C21" s="19"/>
      <c r="D21" s="18"/>
      <c r="E21" s="19"/>
      <c r="F21" s="18"/>
      <c r="G21" s="18"/>
      <c r="H21" s="18"/>
      <c r="I21" s="18"/>
    </row>
    <row r="22" customFormat="false" ht="24" hidden="false" customHeight="true" outlineLevel="0" collapsed="false">
      <c r="B22" s="18"/>
      <c r="C22" s="19"/>
      <c r="D22" s="18"/>
      <c r="E22" s="19"/>
      <c r="F22" s="18"/>
      <c r="G22" s="18"/>
      <c r="H22" s="18"/>
      <c r="I22" s="18"/>
    </row>
    <row r="23" customFormat="false" ht="24" hidden="false" customHeight="true" outlineLevel="0" collapsed="false">
      <c r="B23" s="18"/>
      <c r="C23" s="19"/>
      <c r="D23" s="18"/>
      <c r="E23" s="19"/>
      <c r="F23" s="18"/>
      <c r="G23" s="18"/>
      <c r="H23" s="18"/>
      <c r="I23" s="18"/>
    </row>
    <row r="24" customFormat="false" ht="24" hidden="false" customHeight="true" outlineLevel="0" collapsed="false">
      <c r="B24" s="18"/>
      <c r="C24" s="19"/>
      <c r="D24" s="18"/>
      <c r="E24" s="19"/>
      <c r="F24" s="18"/>
      <c r="G24" s="18"/>
      <c r="H24" s="18"/>
      <c r="I24" s="18"/>
    </row>
    <row r="25" customFormat="false" ht="24" hidden="false" customHeight="true" outlineLevel="0" collapsed="false">
      <c r="B25" s="18"/>
      <c r="C25" s="19"/>
      <c r="D25" s="18"/>
      <c r="E25" s="19"/>
      <c r="F25" s="18"/>
      <c r="G25" s="18"/>
      <c r="H25" s="18"/>
      <c r="I25" s="18"/>
    </row>
    <row r="26" customFormat="false" ht="24" hidden="false" customHeight="true" outlineLevel="0" collapsed="false">
      <c r="B26" s="18"/>
      <c r="C26" s="19"/>
      <c r="D26" s="18"/>
      <c r="E26" s="19"/>
      <c r="F26" s="18"/>
      <c r="G26" s="18"/>
      <c r="H26" s="18"/>
      <c r="I26" s="18"/>
    </row>
  </sheetData>
  <mergeCells count="2">
    <mergeCell ref="B2:I2"/>
    <mergeCell ref="B3:I3"/>
  </mergeCells>
  <conditionalFormatting sqref="G12:G26">
    <cfRule type="expression" priority="2" aboveAverage="0" equalAverage="0" bottom="0" percent="0" rank="0" text="" dxfId="0">
      <formula>G12="✓ Oui"</formula>
    </cfRule>
    <cfRule type="expression" priority="3" aboveAverage="0" equalAverage="0" bottom="0" percent="0" rank="0" text="" dxfId="1">
      <formula>G12="⚠ Bientôt"</formula>
    </cfRule>
    <cfRule type="expression" priority="4" aboveAverage="0" equalAverage="0" bottom="0" percent="0" rank="0" text="" dxfId="2">
      <formula>G12="❌ Non"</formula>
    </cfRule>
    <cfRule type="expression" priority="5" aboveAverage="0" equalAverage="0" bottom="0" percent="0" rank="0" text="" dxfId="3">
      <formula>G12="N/A"</formula>
    </cfRule>
  </conditionalFormatting>
  <conditionalFormatting sqref="H12:H26">
    <cfRule type="expression" priority="6" aboveAverage="0" equalAverage="0" bottom="0" percent="0" rank="0" text="" dxfId="0">
      <formula>H12="✓ Oui"</formula>
    </cfRule>
    <cfRule type="expression" priority="7" aboveAverage="0" equalAverage="0" bottom="0" percent="0" rank="0" text="" dxfId="1">
      <formula>H12="⚠ Bientôt"</formula>
    </cfRule>
    <cfRule type="expression" priority="8" aboveAverage="0" equalAverage="0" bottom="0" percent="0" rank="0" text="" dxfId="2">
      <formula>H12="❌ Non"</formula>
    </cfRule>
    <cfRule type="expression" priority="9" aboveAverage="0" equalAverage="0" bottom="0" percent="0" rank="0" text="" dxfId="3">
      <formula>H12="N/A"</formula>
    </cfRule>
  </conditionalFormatting>
  <conditionalFormatting sqref="I12:I26">
    <cfRule type="expression" priority="10" aboveAverage="0" equalAverage="0" bottom="0" percent="0" rank="0" text="" dxfId="0">
      <formula>I12="✓ Oui"</formula>
    </cfRule>
    <cfRule type="expression" priority="11" aboveAverage="0" equalAverage="0" bottom="0" percent="0" rank="0" text="" dxfId="1">
      <formula>I12="⚠ Bientôt"</formula>
    </cfRule>
    <cfRule type="expression" priority="12" aboveAverage="0" equalAverage="0" bottom="0" percent="0" rank="0" text="" dxfId="2">
      <formula>I12="❌ Non"</formula>
    </cfRule>
    <cfRule type="expression" priority="13" aboveAverage="0" equalAverage="0" bottom="0" percent="0" rank="0" text="" dxfId="3">
      <formula>I12="N/A"</formula>
    </cfRule>
  </conditionalFormatting>
  <dataValidations count="2">
    <dataValidation allowBlank="true" errorStyle="stop" operator="between" showDropDown="false" showErrorMessage="false" showInputMessage="false" sqref="D12:D26" type="list">
      <formula1>"Salarié CDI,Salarié CDD,Vacataire,Sous-traitant,Indépendant"</formula1>
      <formula2>0</formula2>
    </dataValidation>
    <dataValidation allowBlank="true" errorStyle="stop" operator="between" showDropDown="false" showErrorMessage="false" showInputMessage="false" sqref="G12:I26" type="list">
      <formula1>"✓ Oui,⚠ Bientôt,❌ Non,N/A"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&amp;K888780M39 — Matrice compétences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10" min="3" style="0" width="11"/>
    <col collapsed="false" customWidth="true" hidden="false" outlineLevel="0" max="11" min="11" style="0" width="2"/>
  </cols>
  <sheetData>
    <row r="2" customFormat="false" ht="30" hidden="false" customHeight="true" outlineLevel="0" collapsed="false">
      <c r="B2" s="13" t="s">
        <v>58</v>
      </c>
      <c r="C2" s="13"/>
      <c r="D2" s="13"/>
      <c r="E2" s="13"/>
      <c r="F2" s="13"/>
      <c r="G2" s="13"/>
      <c r="H2" s="13"/>
      <c r="I2" s="13"/>
      <c r="J2" s="13"/>
    </row>
    <row r="3" customFormat="false" ht="19.5" hidden="false" customHeight="true" outlineLevel="0" collapsed="false">
      <c r="B3" s="14" t="s">
        <v>59</v>
      </c>
      <c r="C3" s="14"/>
      <c r="D3" s="14"/>
      <c r="E3" s="14"/>
      <c r="F3" s="14"/>
      <c r="G3" s="14"/>
      <c r="H3" s="14"/>
      <c r="I3" s="14"/>
      <c r="J3" s="14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</row>
    <row r="6" customFormat="false" ht="60" hidden="false" customHeight="true" outlineLevel="0" collapsed="false">
      <c r="B6" s="15" t="s">
        <v>60</v>
      </c>
      <c r="C6" s="15" t="str">
        <f aca="false">'👥 Annuaire équipe'!C7</f>
        <v>DUBOIS Claire</v>
      </c>
      <c r="D6" s="15" t="str">
        <f aca="false">'👥 Annuaire équipe'!C8</f>
        <v>MARTIN Olivier</v>
      </c>
      <c r="E6" s="15" t="str">
        <f aca="false">'👥 Annuaire équipe'!C9</f>
        <v>BERNARD Sophie</v>
      </c>
      <c r="F6" s="15" t="str">
        <f aca="false">'👥 Annuaire équipe'!C10</f>
        <v>LEROY Marc</v>
      </c>
      <c r="G6" s="15" t="str">
        <f aca="false">'👥 Annuaire équipe'!C11</f>
        <v>PETIT Marie</v>
      </c>
      <c r="H6" s="15" t="n">
        <f aca="false">'👥 Annuaire équipe'!C12</f>
        <v>0</v>
      </c>
      <c r="I6" s="15" t="n">
        <f aca="false">'👥 Annuaire équipe'!C13</f>
        <v>0</v>
      </c>
      <c r="J6" s="15" t="n">
        <f aca="false">'👥 Annuaire équipe'!C14</f>
        <v>0</v>
      </c>
    </row>
    <row r="7" customFormat="false" ht="25.5" hidden="false" customHeight="true" outlineLevel="0" collapsed="false">
      <c r="B7" s="20" t="s">
        <v>61</v>
      </c>
      <c r="C7" s="21" t="s">
        <v>12</v>
      </c>
      <c r="D7" s="21" t="s">
        <v>14</v>
      </c>
      <c r="E7" s="22" t="s">
        <v>18</v>
      </c>
      <c r="F7" s="23" t="s">
        <v>16</v>
      </c>
      <c r="G7" s="22" t="s">
        <v>18</v>
      </c>
      <c r="H7" s="22" t="s">
        <v>18</v>
      </c>
      <c r="I7" s="22" t="s">
        <v>18</v>
      </c>
      <c r="J7" s="22" t="s">
        <v>18</v>
      </c>
    </row>
    <row r="8" customFormat="false" ht="25.5" hidden="false" customHeight="true" outlineLevel="0" collapsed="false">
      <c r="B8" s="20" t="s">
        <v>62</v>
      </c>
      <c r="C8" s="21" t="s">
        <v>14</v>
      </c>
      <c r="D8" s="21" t="s">
        <v>12</v>
      </c>
      <c r="E8" s="21" t="s">
        <v>14</v>
      </c>
      <c r="F8" s="22" t="s">
        <v>18</v>
      </c>
      <c r="G8" s="22" t="s">
        <v>18</v>
      </c>
      <c r="H8" s="22" t="s">
        <v>18</v>
      </c>
      <c r="I8" s="22" t="s">
        <v>18</v>
      </c>
      <c r="J8" s="22" t="s">
        <v>18</v>
      </c>
    </row>
    <row r="9" customFormat="false" ht="25.5" hidden="false" customHeight="true" outlineLevel="0" collapsed="false">
      <c r="B9" s="20" t="s">
        <v>63</v>
      </c>
      <c r="C9" s="22" t="s">
        <v>18</v>
      </c>
      <c r="D9" s="21" t="s">
        <v>14</v>
      </c>
      <c r="E9" s="21" t="s">
        <v>12</v>
      </c>
      <c r="F9" s="22" t="s">
        <v>18</v>
      </c>
      <c r="G9" s="22" t="s">
        <v>18</v>
      </c>
      <c r="H9" s="22" t="s">
        <v>18</v>
      </c>
      <c r="I9" s="22" t="s">
        <v>18</v>
      </c>
      <c r="J9" s="22" t="s">
        <v>18</v>
      </c>
    </row>
    <row r="10" customFormat="false" ht="25.5" hidden="false" customHeight="true" outlineLevel="0" collapsed="false">
      <c r="B10" s="20" t="s">
        <v>64</v>
      </c>
      <c r="C10" s="22" t="s">
        <v>18</v>
      </c>
      <c r="D10" s="22" t="s">
        <v>18</v>
      </c>
      <c r="E10" s="22" t="s">
        <v>18</v>
      </c>
      <c r="F10" s="21" t="s">
        <v>12</v>
      </c>
      <c r="G10" s="22" t="s">
        <v>18</v>
      </c>
      <c r="H10" s="22" t="s">
        <v>18</v>
      </c>
      <c r="I10" s="22" t="s">
        <v>18</v>
      </c>
      <c r="J10" s="22" t="s">
        <v>18</v>
      </c>
    </row>
    <row r="11" customFormat="false" ht="25.5" hidden="false" customHeight="true" outlineLevel="0" collapsed="false">
      <c r="B11" s="20" t="s">
        <v>65</v>
      </c>
      <c r="C11" s="22" t="s">
        <v>18</v>
      </c>
      <c r="D11" s="22" t="s">
        <v>18</v>
      </c>
      <c r="E11" s="22" t="s">
        <v>18</v>
      </c>
      <c r="F11" s="22" t="s">
        <v>18</v>
      </c>
      <c r="G11" s="21" t="s">
        <v>12</v>
      </c>
      <c r="H11" s="22" t="s">
        <v>18</v>
      </c>
      <c r="I11" s="22" t="s">
        <v>18</v>
      </c>
      <c r="J11" s="22" t="s">
        <v>18</v>
      </c>
    </row>
    <row r="12" customFormat="false" ht="25.5" hidden="false" customHeight="true" outlineLevel="0" collapsed="false">
      <c r="B12" s="20" t="s">
        <v>66</v>
      </c>
      <c r="C12" s="22" t="s">
        <v>18</v>
      </c>
      <c r="D12" s="22" t="s">
        <v>18</v>
      </c>
      <c r="E12" s="22" t="s">
        <v>18</v>
      </c>
      <c r="F12" s="22" t="s">
        <v>18</v>
      </c>
      <c r="G12" s="21" t="s">
        <v>12</v>
      </c>
      <c r="H12" s="22" t="s">
        <v>18</v>
      </c>
      <c r="I12" s="22" t="s">
        <v>18</v>
      </c>
      <c r="J12" s="22" t="s">
        <v>18</v>
      </c>
    </row>
    <row r="13" customFormat="false" ht="25.5" hidden="false" customHeight="true" outlineLevel="0" collapsed="false">
      <c r="B13" s="20" t="s">
        <v>67</v>
      </c>
      <c r="C13" s="22" t="s">
        <v>18</v>
      </c>
      <c r="D13" s="22" t="s">
        <v>18</v>
      </c>
      <c r="E13" s="22" t="s">
        <v>18</v>
      </c>
      <c r="F13" s="22" t="s">
        <v>18</v>
      </c>
      <c r="G13" s="21" t="s">
        <v>12</v>
      </c>
      <c r="H13" s="22" t="s">
        <v>18</v>
      </c>
      <c r="I13" s="22" t="s">
        <v>18</v>
      </c>
      <c r="J13" s="22" t="s">
        <v>18</v>
      </c>
    </row>
    <row r="14" customFormat="false" ht="25.5" hidden="false" customHeight="true" outlineLevel="0" collapsed="false">
      <c r="B14" s="20" t="s">
        <v>68</v>
      </c>
      <c r="C14" s="22" t="s">
        <v>18</v>
      </c>
      <c r="D14" s="22" t="s">
        <v>18</v>
      </c>
      <c r="E14" s="22" t="s">
        <v>18</v>
      </c>
      <c r="F14" s="22" t="s">
        <v>18</v>
      </c>
      <c r="G14" s="22" t="s">
        <v>18</v>
      </c>
      <c r="H14" s="22" t="s">
        <v>18</v>
      </c>
      <c r="I14" s="21" t="s">
        <v>12</v>
      </c>
      <c r="J14" s="22" t="s">
        <v>18</v>
      </c>
    </row>
    <row r="15" customFormat="false" ht="25.5" hidden="false" customHeight="true" outlineLevel="0" collapsed="false">
      <c r="B15" s="20" t="s">
        <v>69</v>
      </c>
      <c r="C15" s="22" t="s">
        <v>18</v>
      </c>
      <c r="D15" s="21" t="s">
        <v>14</v>
      </c>
      <c r="E15" s="22" t="s">
        <v>18</v>
      </c>
      <c r="F15" s="22" t="s">
        <v>18</v>
      </c>
      <c r="G15" s="22" t="s">
        <v>18</v>
      </c>
      <c r="H15" s="23" t="s">
        <v>16</v>
      </c>
      <c r="I15" s="22" t="s">
        <v>18</v>
      </c>
      <c r="J15" s="22" t="s">
        <v>18</v>
      </c>
    </row>
    <row r="16" customFormat="false" ht="25.5" hidden="false" customHeight="true" outlineLevel="0" collapsed="false">
      <c r="B16" s="20" t="s">
        <v>70</v>
      </c>
      <c r="C16" s="22" t="s">
        <v>18</v>
      </c>
      <c r="D16" s="22" t="s">
        <v>18</v>
      </c>
      <c r="E16" s="21" t="s">
        <v>14</v>
      </c>
      <c r="F16" s="22" t="s">
        <v>18</v>
      </c>
      <c r="G16" s="22" t="s">
        <v>18</v>
      </c>
      <c r="H16" s="23" t="s">
        <v>16</v>
      </c>
      <c r="I16" s="22" t="s">
        <v>18</v>
      </c>
      <c r="J16" s="22" t="s">
        <v>18</v>
      </c>
    </row>
    <row r="17" customFormat="false" ht="25.5" hidden="false" customHeight="true" outlineLevel="0" collapsed="false">
      <c r="B17" s="24"/>
      <c r="C17" s="25"/>
      <c r="D17" s="25"/>
      <c r="E17" s="25"/>
      <c r="F17" s="25"/>
      <c r="G17" s="25"/>
      <c r="H17" s="25"/>
      <c r="I17" s="25"/>
      <c r="J17" s="25"/>
    </row>
    <row r="18" customFormat="false" ht="25.5" hidden="false" customHeight="true" outlineLevel="0" collapsed="false">
      <c r="B18" s="24"/>
      <c r="C18" s="25"/>
      <c r="D18" s="25"/>
      <c r="E18" s="25"/>
      <c r="F18" s="25"/>
      <c r="G18" s="25"/>
      <c r="H18" s="25"/>
      <c r="I18" s="25"/>
      <c r="J18" s="25"/>
    </row>
    <row r="19" customFormat="false" ht="25.5" hidden="false" customHeight="true" outlineLevel="0" collapsed="false">
      <c r="B19" s="24"/>
      <c r="C19" s="25"/>
      <c r="D19" s="25"/>
      <c r="E19" s="25"/>
      <c r="F19" s="25"/>
      <c r="G19" s="25"/>
      <c r="H19" s="25"/>
      <c r="I19" s="25"/>
      <c r="J19" s="25"/>
    </row>
    <row r="20" customFormat="false" ht="25.5" hidden="false" customHeight="true" outlineLevel="0" collapsed="false">
      <c r="B20" s="24"/>
      <c r="C20" s="25"/>
      <c r="D20" s="25"/>
      <c r="E20" s="25"/>
      <c r="F20" s="25"/>
      <c r="G20" s="25"/>
      <c r="H20" s="25"/>
      <c r="I20" s="25"/>
      <c r="J20" s="25"/>
    </row>
    <row r="21" customFormat="false" ht="25.5" hidden="false" customHeight="true" outlineLevel="0" collapsed="false">
      <c r="B21" s="24"/>
      <c r="C21" s="25"/>
      <c r="D21" s="25"/>
      <c r="E21" s="25"/>
      <c r="F21" s="25"/>
      <c r="G21" s="25"/>
      <c r="H21" s="25"/>
      <c r="I21" s="25"/>
      <c r="J21" s="25"/>
    </row>
    <row r="22" customFormat="false" ht="25.5" hidden="false" customHeight="true" outlineLevel="0" collapsed="false">
      <c r="B22" s="24"/>
      <c r="C22" s="25"/>
      <c r="D22" s="25"/>
      <c r="E22" s="25"/>
      <c r="F22" s="25"/>
      <c r="G22" s="25"/>
      <c r="H22" s="25"/>
      <c r="I22" s="25"/>
      <c r="J22" s="25"/>
    </row>
    <row r="23" customFormat="false" ht="25.5" hidden="false" customHeight="true" outlineLevel="0" collapsed="false">
      <c r="B23" s="24"/>
      <c r="C23" s="25"/>
      <c r="D23" s="25"/>
      <c r="E23" s="25"/>
      <c r="F23" s="25"/>
      <c r="G23" s="25"/>
      <c r="H23" s="25"/>
      <c r="I23" s="25"/>
      <c r="J23" s="25"/>
    </row>
    <row r="24" customFormat="false" ht="25.5" hidden="false" customHeight="true" outlineLevel="0" collapsed="false">
      <c r="B24" s="24"/>
      <c r="C24" s="25"/>
      <c r="D24" s="25"/>
      <c r="E24" s="25"/>
      <c r="F24" s="25"/>
      <c r="G24" s="25"/>
      <c r="H24" s="25"/>
      <c r="I24" s="25"/>
      <c r="J24" s="25"/>
    </row>
    <row r="25" customFormat="false" ht="25.5" hidden="false" customHeight="true" outlineLevel="0" collapsed="false">
      <c r="B25" s="24"/>
      <c r="C25" s="25"/>
      <c r="D25" s="25"/>
      <c r="E25" s="25"/>
      <c r="F25" s="25"/>
      <c r="G25" s="25"/>
      <c r="H25" s="25"/>
      <c r="I25" s="25"/>
      <c r="J25" s="25"/>
    </row>
    <row r="26" customFormat="false" ht="25.5" hidden="false" customHeight="true" outlineLevel="0" collapsed="false">
      <c r="B26" s="24"/>
      <c r="C26" s="25"/>
      <c r="D26" s="25"/>
      <c r="E26" s="25"/>
      <c r="F26" s="25"/>
      <c r="G26" s="25"/>
      <c r="H26" s="25"/>
      <c r="I26" s="25"/>
      <c r="J26" s="25"/>
    </row>
    <row r="27" customFormat="false" ht="25.5" hidden="false" customHeight="true" outlineLevel="0" collapsed="false">
      <c r="B27" s="24"/>
      <c r="C27" s="25"/>
      <c r="D27" s="25"/>
      <c r="E27" s="25"/>
      <c r="F27" s="25"/>
      <c r="G27" s="25"/>
      <c r="H27" s="25"/>
      <c r="I27" s="25"/>
      <c r="J27" s="25"/>
    </row>
    <row r="28" customFormat="false" ht="25.5" hidden="false" customHeight="true" outlineLevel="0" collapsed="false">
      <c r="B28" s="24"/>
      <c r="C28" s="25"/>
      <c r="D28" s="25"/>
      <c r="E28" s="25"/>
      <c r="F28" s="25"/>
      <c r="G28" s="25"/>
      <c r="H28" s="25"/>
      <c r="I28" s="25"/>
      <c r="J28" s="25"/>
    </row>
    <row r="29" customFormat="false" ht="25.5" hidden="false" customHeight="true" outlineLevel="0" collapsed="false">
      <c r="B29" s="24"/>
      <c r="C29" s="25"/>
      <c r="D29" s="25"/>
      <c r="E29" s="25"/>
      <c r="F29" s="25"/>
      <c r="G29" s="25"/>
      <c r="H29" s="25"/>
      <c r="I29" s="25"/>
      <c r="J29" s="25"/>
    </row>
    <row r="30" customFormat="false" ht="25.5" hidden="false" customHeight="true" outlineLevel="0" collapsed="false">
      <c r="B30" s="24"/>
      <c r="C30" s="25"/>
      <c r="D30" s="25"/>
      <c r="E30" s="25"/>
      <c r="F30" s="25"/>
      <c r="G30" s="25"/>
      <c r="H30" s="25"/>
      <c r="I30" s="25"/>
      <c r="J30" s="25"/>
    </row>
    <row r="31" customFormat="false" ht="25.5" hidden="false" customHeight="true" outlineLevel="0" collapsed="false">
      <c r="B31" s="24"/>
      <c r="C31" s="25"/>
      <c r="D31" s="25"/>
      <c r="E31" s="25"/>
      <c r="F31" s="25"/>
      <c r="G31" s="25"/>
      <c r="H31" s="25"/>
      <c r="I31" s="25"/>
      <c r="J31" s="25"/>
    </row>
  </sheetData>
  <mergeCells count="2">
    <mergeCell ref="B2:J2"/>
    <mergeCell ref="B3:J3"/>
  </mergeCells>
  <conditionalFormatting sqref="C7:C31">
    <cfRule type="expression" priority="2" aboveAverage="0" equalAverage="0" bottom="0" percent="0" rank="0" text="" dxfId="0">
      <formula>OR(C7="◉ Référent",C7="● Habilité")</formula>
    </cfRule>
    <cfRule type="expression" priority="3" aboveAverage="0" equalAverage="0" bottom="0" percent="0" rank="0" text="" dxfId="1">
      <formula>C7="◐ En cours"</formula>
    </cfRule>
    <cfRule type="expression" priority="4" aboveAverage="0" equalAverage="0" bottom="0" percent="0" rank="0" text="" dxfId="3">
      <formula>C7="○ Non habilité"</formula>
    </cfRule>
  </conditionalFormatting>
  <conditionalFormatting sqref="D7:D31">
    <cfRule type="expression" priority="5" aboveAverage="0" equalAverage="0" bottom="0" percent="0" rank="0" text="" dxfId="0">
      <formula>OR(D7="◉ Référent",D7="● Habilité")</formula>
    </cfRule>
    <cfRule type="expression" priority="6" aboveAverage="0" equalAverage="0" bottom="0" percent="0" rank="0" text="" dxfId="1">
      <formula>D7="◐ En cours"</formula>
    </cfRule>
    <cfRule type="expression" priority="7" aboveAverage="0" equalAverage="0" bottom="0" percent="0" rank="0" text="" dxfId="3">
      <formula>D7="○ Non habilité"</formula>
    </cfRule>
  </conditionalFormatting>
  <conditionalFormatting sqref="E7:E31">
    <cfRule type="expression" priority="8" aboveAverage="0" equalAverage="0" bottom="0" percent="0" rank="0" text="" dxfId="0">
      <formula>OR(E7="◉ Référent",E7="● Habilité")</formula>
    </cfRule>
    <cfRule type="expression" priority="9" aboveAverage="0" equalAverage="0" bottom="0" percent="0" rank="0" text="" dxfId="1">
      <formula>E7="◐ En cours"</formula>
    </cfRule>
    <cfRule type="expression" priority="10" aboveAverage="0" equalAverage="0" bottom="0" percent="0" rank="0" text="" dxfId="3">
      <formula>E7="○ Non habilité"</formula>
    </cfRule>
  </conditionalFormatting>
  <conditionalFormatting sqref="F7:F31">
    <cfRule type="expression" priority="11" aboveAverage="0" equalAverage="0" bottom="0" percent="0" rank="0" text="" dxfId="0">
      <formula>OR(F7="◉ Référent",F7="● Habilité")</formula>
    </cfRule>
    <cfRule type="expression" priority="12" aboveAverage="0" equalAverage="0" bottom="0" percent="0" rank="0" text="" dxfId="1">
      <formula>F7="◐ En cours"</formula>
    </cfRule>
    <cfRule type="expression" priority="13" aboveAverage="0" equalAverage="0" bottom="0" percent="0" rank="0" text="" dxfId="3">
      <formula>F7="○ Non habilité"</formula>
    </cfRule>
  </conditionalFormatting>
  <conditionalFormatting sqref="G7:G31">
    <cfRule type="expression" priority="14" aboveAverage="0" equalAverage="0" bottom="0" percent="0" rank="0" text="" dxfId="0">
      <formula>OR(G7="◉ Référent",G7="● Habilité")</formula>
    </cfRule>
    <cfRule type="expression" priority="15" aboveAverage="0" equalAverage="0" bottom="0" percent="0" rank="0" text="" dxfId="1">
      <formula>G7="◐ En cours"</formula>
    </cfRule>
    <cfRule type="expression" priority="16" aboveAverage="0" equalAverage="0" bottom="0" percent="0" rank="0" text="" dxfId="3">
      <formula>G7="○ Non habilité"</formula>
    </cfRule>
  </conditionalFormatting>
  <conditionalFormatting sqref="H7:H31">
    <cfRule type="expression" priority="17" aboveAverage="0" equalAverage="0" bottom="0" percent="0" rank="0" text="" dxfId="0">
      <formula>OR(H7="◉ Référent",H7="● Habilité")</formula>
    </cfRule>
    <cfRule type="expression" priority="18" aboveAverage="0" equalAverage="0" bottom="0" percent="0" rank="0" text="" dxfId="1">
      <formula>H7="◐ En cours"</formula>
    </cfRule>
    <cfRule type="expression" priority="19" aboveAverage="0" equalAverage="0" bottom="0" percent="0" rank="0" text="" dxfId="3">
      <formula>H7="○ Non habilité"</formula>
    </cfRule>
  </conditionalFormatting>
  <conditionalFormatting sqref="I7:I31">
    <cfRule type="expression" priority="20" aboveAverage="0" equalAverage="0" bottom="0" percent="0" rank="0" text="" dxfId="0">
      <formula>OR(I7="◉ Référent",I7="● Habilité")</formula>
    </cfRule>
    <cfRule type="expression" priority="21" aboveAverage="0" equalAverage="0" bottom="0" percent="0" rank="0" text="" dxfId="1">
      <formula>I7="◐ En cours"</formula>
    </cfRule>
    <cfRule type="expression" priority="22" aboveAverage="0" equalAverage="0" bottom="0" percent="0" rank="0" text="" dxfId="3">
      <formula>I7="○ Non habilité"</formula>
    </cfRule>
  </conditionalFormatting>
  <conditionalFormatting sqref="J7:J31">
    <cfRule type="expression" priority="23" aboveAverage="0" equalAverage="0" bottom="0" percent="0" rank="0" text="" dxfId="0">
      <formula>OR(J7="◉ Référent",J7="● Habilité")</formula>
    </cfRule>
    <cfRule type="expression" priority="24" aboveAverage="0" equalAverage="0" bottom="0" percent="0" rank="0" text="" dxfId="1">
      <formula>J7="◐ En cours"</formula>
    </cfRule>
    <cfRule type="expression" priority="25" aboveAverage="0" equalAverage="0" bottom="0" percent="0" rank="0" text="" dxfId="3">
      <formula>J7="○ Non habilité"</formula>
    </cfRule>
  </conditionalFormatting>
  <dataValidations count="1">
    <dataValidation allowBlank="true" errorStyle="stop" operator="between" showDropDown="false" showErrorMessage="false" showInputMessage="false" sqref="C17:J31" type="list">
      <formula1>"◉ Référent,● Habilité,◐ En cours,○ Non habilité"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&amp;K888780M39 — Matrice compétences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"/>
  </cols>
  <sheetData>
    <row r="2" customFormat="false" ht="30" hidden="false" customHeight="true" outlineLevel="0" collapsed="false">
      <c r="B2" s="13" t="s">
        <v>71</v>
      </c>
      <c r="C2" s="13"/>
      <c r="D2" s="13"/>
      <c r="E2" s="13"/>
    </row>
    <row r="3" customFormat="false" ht="19.5" hidden="false" customHeight="true" outlineLevel="0" collapsed="false">
      <c r="B3" s="14" t="s">
        <v>72</v>
      </c>
      <c r="C3" s="14"/>
      <c r="D3" s="14"/>
      <c r="E3" s="14"/>
    </row>
    <row r="4" customFormat="false" ht="6" hidden="false" customHeight="true" outlineLevel="0" collapsed="false">
      <c r="B4" s="3"/>
      <c r="C4" s="3"/>
      <c r="D4" s="3"/>
      <c r="E4" s="3"/>
    </row>
    <row r="6" customFormat="false" ht="30" hidden="false" customHeight="true" outlineLevel="0" collapsed="false">
      <c r="B6" s="15" t="s">
        <v>73</v>
      </c>
      <c r="C6" s="15" t="s">
        <v>74</v>
      </c>
      <c r="D6" s="15" t="s">
        <v>75</v>
      </c>
      <c r="E6" s="15" t="s">
        <v>76</v>
      </c>
    </row>
    <row r="7" customFormat="false" ht="25.5" hidden="false" customHeight="true" outlineLevel="0" collapsed="false">
      <c r="B7" s="26" t="str">
        <f aca="false">'📊 Matrice compétences'!B7</f>
        <v>AF — Communication interpersonnelle</v>
      </c>
      <c r="C7" s="27" t="n">
        <f aca="false">COUNTIF('📊 Matrice compétences'!C7:J7,"◉ Référent")</f>
        <v>1</v>
      </c>
      <c r="D7" s="27" t="n">
        <f aca="false">COUNTIF('📊 Matrice compétences'!C7:J7,"◉ Référent")+COUNTIF('📊 Matrice compétences'!C7:J7,"● Habilité")</f>
        <v>2</v>
      </c>
      <c r="E7" s="28" t="str">
        <f aca="false">IF(D7&gt;=2,"✓ Couverture OK",IF(D7=1,"⚠ Mono-formateur","❌ Non couvert"))</f>
        <v>✓ Couverture OK</v>
      </c>
    </row>
    <row r="8" customFormat="false" ht="25.5" hidden="false" customHeight="true" outlineLevel="0" collapsed="false">
      <c r="B8" s="26" t="str">
        <f aca="false">'📊 Matrice compétences'!B8</f>
        <v>AF — Gestion du stress et bien-être au travail</v>
      </c>
      <c r="C8" s="27" t="n">
        <f aca="false">COUNTIF('📊 Matrice compétences'!C8:J8,"◉ Référent")</f>
        <v>1</v>
      </c>
      <c r="D8" s="27" t="n">
        <f aca="false">COUNTIF('📊 Matrice compétences'!C8:J8,"◉ Référent")+COUNTIF('📊 Matrice compétences'!C8:J8,"● Habilité")</f>
        <v>3</v>
      </c>
      <c r="E8" s="28" t="str">
        <f aca="false">IF(D8&gt;=2,"✓ Couverture OK",IF(D8=1,"⚠ Mono-formateur","❌ Non couvert"))</f>
        <v>✓ Couverture OK</v>
      </c>
    </row>
    <row r="9" customFormat="false" ht="25.5" hidden="false" customHeight="true" outlineLevel="0" collapsed="false">
      <c r="B9" s="26" t="str">
        <f aca="false">'📊 Matrice compétences'!B9</f>
        <v>AF — Management de proximité</v>
      </c>
      <c r="C9" s="27" t="n">
        <f aca="false">COUNTIF('📊 Matrice compétences'!C9:J9,"◉ Référent")</f>
        <v>1</v>
      </c>
      <c r="D9" s="27" t="n">
        <f aca="false">COUNTIF('📊 Matrice compétences'!C9:J9,"◉ Référent")+COUNTIF('📊 Matrice compétences'!C9:J9,"● Habilité")</f>
        <v>2</v>
      </c>
      <c r="E9" s="28" t="str">
        <f aca="false">IF(D9&gt;=2,"✓ Couverture OK",IF(D9=1,"⚠ Mono-formateur","❌ Non couvert"))</f>
        <v>✓ Couverture OK</v>
      </c>
    </row>
    <row r="10" customFormat="false" ht="25.5" hidden="false" customHeight="true" outlineLevel="0" collapsed="false">
      <c r="B10" s="26" t="str">
        <f aca="false">'📊 Matrice compétences'!B10</f>
        <v>AF — Pack Office (Excel, Word, PowerPoint)</v>
      </c>
      <c r="C10" s="27" t="n">
        <f aca="false">COUNTIF('📊 Matrice compétences'!C10:J10,"◉ Référent")</f>
        <v>1</v>
      </c>
      <c r="D10" s="27" t="n">
        <f aca="false">COUNTIF('📊 Matrice compétences'!C10:J10,"◉ Référent")+COUNTIF('📊 Matrice compétences'!C10:J10,"● Habilité")</f>
        <v>1</v>
      </c>
      <c r="E10" s="28" t="str">
        <f aca="false">IF(D10&gt;=2,"✓ Couverture OK",IF(D10=1,"⚠ Mono-formateur","❌ Non couvert"))</f>
        <v>⚠ Mono-formateur</v>
      </c>
    </row>
    <row r="11" customFormat="false" ht="25.5" hidden="false" customHeight="true" outlineLevel="0" collapsed="false">
      <c r="B11" s="26" t="str">
        <f aca="false">'📊 Matrice compétences'!B11</f>
        <v>BC — Bilan de compétences (phase préliminaire)</v>
      </c>
      <c r="C11" s="27" t="n">
        <f aca="false">COUNTIF('📊 Matrice compétences'!C11:J11,"◉ Référent")</f>
        <v>1</v>
      </c>
      <c r="D11" s="27" t="n">
        <f aca="false">COUNTIF('📊 Matrice compétences'!C11:J11,"◉ Référent")+COUNTIF('📊 Matrice compétences'!C11:J11,"● Habilité")</f>
        <v>1</v>
      </c>
      <c r="E11" s="28" t="str">
        <f aca="false">IF(D11&gt;=2,"✓ Couverture OK",IF(D11=1,"⚠ Mono-formateur","❌ Non couvert"))</f>
        <v>⚠ Mono-formateur</v>
      </c>
    </row>
    <row r="12" customFormat="false" ht="25.5" hidden="false" customHeight="true" outlineLevel="0" collapsed="false">
      <c r="B12" s="26" t="str">
        <f aca="false">'📊 Matrice compétences'!B12</f>
        <v>BC — Bilan de compétences (phase investigation)</v>
      </c>
      <c r="C12" s="27" t="n">
        <f aca="false">COUNTIF('📊 Matrice compétences'!C12:J12,"◉ Référent")</f>
        <v>1</v>
      </c>
      <c r="D12" s="27" t="n">
        <f aca="false">COUNTIF('📊 Matrice compétences'!C12:J12,"◉ Référent")+COUNTIF('📊 Matrice compétences'!C12:J12,"● Habilité")</f>
        <v>1</v>
      </c>
      <c r="E12" s="28" t="str">
        <f aca="false">IF(D12&gt;=2,"✓ Couverture OK",IF(D12=1,"⚠ Mono-formateur","❌ Non couvert"))</f>
        <v>⚠ Mono-formateur</v>
      </c>
    </row>
    <row r="13" customFormat="false" ht="25.5" hidden="false" customHeight="true" outlineLevel="0" collapsed="false">
      <c r="B13" s="26" t="str">
        <f aca="false">'📊 Matrice compétences'!B13</f>
        <v>BC — Bilan de compétences (phase conclusion)</v>
      </c>
      <c r="C13" s="27" t="n">
        <f aca="false">COUNTIF('📊 Matrice compétences'!C13:J13,"◉ Référent")</f>
        <v>1</v>
      </c>
      <c r="D13" s="27" t="n">
        <f aca="false">COUNTIF('📊 Matrice compétences'!C13:J13,"◉ Référent")+COUNTIF('📊 Matrice compétences'!C13:J13,"● Habilité")</f>
        <v>1</v>
      </c>
      <c r="E13" s="28" t="str">
        <f aca="false">IF(D13&gt;=2,"✓ Couverture OK",IF(D13=1,"⚠ Mono-formateur","❌ Non couvert"))</f>
        <v>⚠ Mono-formateur</v>
      </c>
    </row>
    <row r="14" customFormat="false" ht="25.5" hidden="false" customHeight="true" outlineLevel="0" collapsed="false">
      <c r="B14" s="26" t="str">
        <f aca="false">'📊 Matrice compétences'!B14</f>
        <v>VAE — Accompagnement candidat VAE</v>
      </c>
      <c r="C14" s="27" t="n">
        <f aca="false">COUNTIF('📊 Matrice compétences'!C14:J14,"◉ Référent")</f>
        <v>1</v>
      </c>
      <c r="D14" s="27" t="n">
        <f aca="false">COUNTIF('📊 Matrice compétences'!C14:J14,"◉ Référent")+COUNTIF('📊 Matrice compétences'!C14:J14,"● Habilité")</f>
        <v>1</v>
      </c>
      <c r="E14" s="28" t="str">
        <f aca="false">IF(D14&gt;=2,"✓ Couverture OK",IF(D14=1,"⚠ Mono-formateur","❌ Non couvert"))</f>
        <v>⚠ Mono-formateur</v>
      </c>
    </row>
    <row r="15" customFormat="false" ht="25.5" hidden="false" customHeight="true" outlineLevel="0" collapsed="false">
      <c r="B15" s="26" t="str">
        <f aca="false">'📊 Matrice compétences'!B15</f>
        <v>CFA — BTS [ Intitulé ] · Bloc 1</v>
      </c>
      <c r="C15" s="27" t="n">
        <f aca="false">COUNTIF('📊 Matrice compétences'!C15:J15,"◉ Référent")</f>
        <v>0</v>
      </c>
      <c r="D15" s="27" t="n">
        <f aca="false">COUNTIF('📊 Matrice compétences'!C15:J15,"◉ Référent")+COUNTIF('📊 Matrice compétences'!C15:J15,"● Habilité")</f>
        <v>1</v>
      </c>
      <c r="E15" s="28" t="str">
        <f aca="false">IF(D15&gt;=2,"✓ Couverture OK",IF(D15=1,"⚠ Mono-formateur","❌ Non couvert"))</f>
        <v>⚠ Mono-formateur</v>
      </c>
    </row>
    <row r="16" customFormat="false" ht="25.5" hidden="false" customHeight="true" outlineLevel="0" collapsed="false">
      <c r="B16" s="26" t="str">
        <f aca="false">'📊 Matrice compétences'!B16</f>
        <v>CFA — BTS [ Intitulé ] · Bloc 2</v>
      </c>
      <c r="C16" s="27" t="n">
        <f aca="false">COUNTIF('📊 Matrice compétences'!C16:J16,"◉ Référent")</f>
        <v>0</v>
      </c>
      <c r="D16" s="27" t="n">
        <f aca="false">COUNTIF('📊 Matrice compétences'!C16:J16,"◉ Référent")+COUNTIF('📊 Matrice compétences'!C16:J16,"● Habilité")</f>
        <v>1</v>
      </c>
      <c r="E16" s="28" t="str">
        <f aca="false">IF(D16&gt;=2,"✓ Couverture OK",IF(D16=1,"⚠ Mono-formateur","❌ Non couvert"))</f>
        <v>⚠ Mono-formateur</v>
      </c>
    </row>
    <row r="18" customFormat="false" ht="24" hidden="false" customHeight="true" outlineLevel="0" collapsed="false">
      <c r="B18" s="29" t="s">
        <v>77</v>
      </c>
      <c r="C18" s="29"/>
      <c r="D18" s="29"/>
      <c r="E18" s="29"/>
    </row>
    <row r="19" customFormat="false" ht="27.75" hidden="false" customHeight="true" outlineLevel="0" collapsed="false">
      <c r="B19" s="26" t="s">
        <v>78</v>
      </c>
      <c r="C19" s="26"/>
      <c r="D19" s="26"/>
      <c r="E19" s="30" t="n">
        <f aca="false">COUNTIF(F7:F16,"✓ Couverture OK")</f>
        <v>0</v>
      </c>
    </row>
    <row r="20" customFormat="false" ht="27.75" hidden="false" customHeight="true" outlineLevel="0" collapsed="false">
      <c r="B20" s="26" t="s">
        <v>79</v>
      </c>
      <c r="C20" s="26"/>
      <c r="D20" s="26"/>
      <c r="E20" s="30" t="n">
        <f aca="false">COUNTIF(F7:F16,"⚠ Mono-formateur")</f>
        <v>0</v>
      </c>
    </row>
    <row r="21" customFormat="false" ht="27.75" hidden="false" customHeight="true" outlineLevel="0" collapsed="false">
      <c r="B21" s="26" t="s">
        <v>80</v>
      </c>
      <c r="C21" s="26"/>
      <c r="D21" s="26"/>
      <c r="E21" s="30" t="n">
        <f aca="false">COUNTIF(F7:F16,"❌ Non couvert")</f>
        <v>0</v>
      </c>
    </row>
    <row r="22" customFormat="false" ht="27.75" hidden="false" customHeight="true" outlineLevel="0" collapsed="false">
      <c r="B22" s="26" t="s">
        <v>81</v>
      </c>
      <c r="C22" s="26"/>
      <c r="D22" s="26"/>
      <c r="E22" s="31" t="n">
        <f aca="false">IFERROR(COUNTIF(F7:F16,"✓ Couverture OK")/COUNTA(B7:B16),0)</f>
        <v>0</v>
      </c>
    </row>
    <row r="24" customFormat="false" ht="55.5" hidden="false" customHeight="true" outlineLevel="0" collapsed="false">
      <c r="B24" s="11" t="s">
        <v>82</v>
      </c>
      <c r="C24" s="12" t="s">
        <v>83</v>
      </c>
      <c r="D24" s="12"/>
      <c r="E24" s="12"/>
    </row>
  </sheetData>
  <mergeCells count="8">
    <mergeCell ref="B2:E2"/>
    <mergeCell ref="B3:E3"/>
    <mergeCell ref="B18:E18"/>
    <mergeCell ref="B19:D19"/>
    <mergeCell ref="B20:D20"/>
    <mergeCell ref="B21:D21"/>
    <mergeCell ref="B22:D22"/>
    <mergeCell ref="C24:E24"/>
  </mergeCells>
  <conditionalFormatting sqref="F7:F16">
    <cfRule type="expression" priority="2" aboveAverage="0" equalAverage="0" bottom="0" percent="0" rank="0" text="" dxfId="0">
      <formula>F7="✓ Couverture OK"</formula>
    </cfRule>
    <cfRule type="expression" priority="3" aboveAverage="0" equalAverage="0" bottom="0" percent="0" rank="0" text="" dxfId="1">
      <formula>F7="⚠ Mono-formateur"</formula>
    </cfRule>
    <cfRule type="expression" priority="4" aboveAverage="0" equalAverage="0" bottom="0" percent="0" rank="0" text="" dxfId="2">
      <formula>F7="❌ Non couvert"</formula>
    </cfRule>
  </conditionalFormatting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&amp;K888780M39 — Matrice compétences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2026-05-14T18:32:56Z</dcterms:created>
  <dc:creator>openpyxl</dc:creator>
  <dc:description/>
  <dc:language>en-US</dc:language>
  <cp:lastModifiedBy/>
  <dcterms:modified xsi:type="dcterms:W3CDTF">2026-05-14T18:32:57Z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