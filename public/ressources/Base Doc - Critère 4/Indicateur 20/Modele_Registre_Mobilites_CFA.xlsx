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Mode d'emploi" sheetId="1" state="visible" r:id="rId3"/>
    <sheet name="📋 Registre mobilités" sheetId="2" state="visible" r:id="rId4"/>
    <sheet name="📚 Ateliers info" sheetId="3" state="visible" r:id="rId5"/>
    <sheet name="🌍 Partenaires" sheetId="4" state="visible" r:id="rId6"/>
    <sheet name="📊 Bilan annuel"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<sst xmlns="http://schemas.openxmlformats.org/spreadsheetml/2006/main" count="135" uniqueCount="122">
  <si>
    <t xml:space="preserve">REGISTRE DES MOBILITÉS CFA</t>
  </si>
  <si>
    <t xml:space="preserve">Modèle M37 — Suivi des manifestations d'intérêt, départs et retours — Ind. 20</t>
  </si>
  <si>
    <t xml:space="preserve">À QUOI SERT CE DOCUMENT</t>
  </si>
  <si>
    <t xml:space="preserve">Registre annuel des mobilités proposées et réalisées par les apprentis du CFA. Couvre les manifestations d'intérêt, les départs effectifs, les structures d'accueil, les financements mobilisés, et les retours d'expérience. Pièce de preuve principale de l'Ind. 20 — démontre l'existence d'un dispositif actif (au-delà de la simple intention).</t>
  </si>
  <si>
    <t xml:space="preserve">STRUCTURE DU CLASSEUR</t>
  </si>
  <si>
    <t xml:space="preserve">📋 Registre des intérêts &amp; départs</t>
  </si>
  <si>
    <t xml:space="preserve">Une ligne par apprenti — suivi du parcours mobilité du début à la fin.</t>
  </si>
  <si>
    <t xml:space="preserve">📚 Ateliers d'information</t>
  </si>
  <si>
    <t xml:space="preserve">Traçabilité des ateliers tenus + émargements.</t>
  </si>
  <si>
    <t xml:space="preserve">🌍 Partenaires &amp; contacts</t>
  </si>
  <si>
    <t xml:space="preserve">Annuaire des structures partenaires (France + international).</t>
  </si>
  <si>
    <t xml:space="preserve">📊 Bilan annuel</t>
  </si>
  <si>
    <t xml:space="preserve">Synthèse des données pour conseil de perfectionnement + audit.</t>
  </si>
  <si>
    <t xml:space="preserve">💡 Ind. 20</t>
  </si>
  <si>
    <t xml:space="preserve">L'objectif n'est PAS le volume mais la POSSIBILITÉ offerte. Un registre avec 0 départ effectif mais des manifestations d'intérêt + ateliers tenus + contacts établis EST conforme. À l'inverse, un CFA sans aucune trace dans ce registre = NC mineure quasi automatique.</t>
  </si>
  <si>
    <t xml:space="preserve">📋 REGISTRE DES MOBILITÉS</t>
  </si>
  <si>
    <t xml:space="preserve">Une ligne par apprenti — du premier intérêt au retour</t>
  </si>
  <si>
    <t xml:space="preserve">N°</t>
  </si>
  <si>
    <t xml:space="preserve">Apprenti</t>
  </si>
  <si>
    <t xml:space="preserve">Promo / Niveau</t>
  </si>
  <si>
    <t xml:space="preserve">Date intérêt</t>
  </si>
  <si>
    <t xml:space="preserve">Destination</t>
  </si>
  <si>
    <t xml:space="preserve">Structure d'accueil</t>
  </si>
  <si>
    <t xml:space="preserve">Durée</t>
  </si>
  <si>
    <t xml:space="preserve">Financement</t>
  </si>
  <si>
    <t xml:space="preserve">Statut</t>
  </si>
  <si>
    <t xml:space="preserve">01</t>
  </si>
  <si>
    <t xml:space="preserve">DUPONT Marie</t>
  </si>
  <si>
    <t xml:space="preserve">BTS MCO 2A</t>
  </si>
  <si>
    <t xml:space="preserve">10/09/25</t>
  </si>
  <si>
    <t xml:space="preserve">🇪🇸 Barcelone (ES)</t>
  </si>
  <si>
    <t xml:space="preserve">Hotel Catalonia</t>
  </si>
  <si>
    <t xml:space="preserve">8 sem.</t>
  </si>
  <si>
    <t xml:space="preserve">Erasmus+</t>
  </si>
  <si>
    <t xml:space="preserve">Revenue</t>
  </si>
  <si>
    <t xml:space="preserve">02</t>
  </si>
  <si>
    <t xml:space="preserve">MARTIN Karim</t>
  </si>
  <si>
    <t xml:space="preserve">Bac Pro Cuisine 2A</t>
  </si>
  <si>
    <t xml:space="preserve">15/10/25</t>
  </si>
  <si>
    <t xml:space="preserve">🇮🇹 Florence (IT)</t>
  </si>
  <si>
    <t xml:space="preserve">Trattoria Il Latini</t>
  </si>
  <si>
    <t xml:space="preserve">6 sem.</t>
  </si>
  <si>
    <t xml:space="preserve">Erasmus+ + Région</t>
  </si>
  <si>
    <t xml:space="preserve">Partie</t>
  </si>
  <si>
    <t xml:space="preserve">03</t>
  </si>
  <si>
    <t xml:space="preserve">BERNARD Sophie</t>
  </si>
  <si>
    <t xml:space="preserve">BTS Compta 1A</t>
  </si>
  <si>
    <t xml:space="preserve">20/11/25</t>
  </si>
  <si>
    <t xml:space="preserve">🇫🇷 Lyon (FR)</t>
  </si>
  <si>
    <t xml:space="preserve">Cabinet d'expertise Lyon</t>
  </si>
  <si>
    <t xml:space="preserve">4 sem.</t>
  </si>
  <si>
    <t xml:space="preserve">Région</t>
  </si>
  <si>
    <t xml:space="preserve">En préparation</t>
  </si>
  <si>
    <t xml:space="preserve">04</t>
  </si>
  <si>
    <t xml:space="preserve">LEROY Thomas</t>
  </si>
  <si>
    <t xml:space="preserve">Bac Pro Méca 2A</t>
  </si>
  <si>
    <t xml:space="preserve">05/01/26</t>
  </si>
  <si>
    <t xml:space="preserve">🇩🇪 Stuttgart (DE)</t>
  </si>
  <si>
    <t xml:space="preserve">Garage Bosch partenaire</t>
  </si>
  <si>
    <t xml:space="preserve">12 sem.</t>
  </si>
  <si>
    <t xml:space="preserve">Erasmus+ Pro</t>
  </si>
  <si>
    <t xml:space="preserve">Intérêt manifesté</t>
  </si>
  <si>
    <t xml:space="preserve">📚 ATELIERS D'INFORMATION MOBILITÉ</t>
  </si>
  <si>
    <t xml:space="preserve">Traçabilité des ateliers organisés (au moins 1 par an obligatoire)</t>
  </si>
  <si>
    <t xml:space="preserve">Date</t>
  </si>
  <si>
    <t xml:space="preserve">Thème</t>
  </si>
  <si>
    <t xml:space="preserve">Public visé</t>
  </si>
  <si>
    <t xml:space="preserve">Participants</t>
  </si>
  <si>
    <t xml:space="preserve">Animateur(s)</t>
  </si>
  <si>
    <t xml:space="preserve">Trace (CR + émargement)</t>
  </si>
  <si>
    <t xml:space="preserve">15/09/25</t>
  </si>
  <si>
    <t xml:space="preserve">Présentation Erasmus+ — Rentrée</t>
  </si>
  <si>
    <t xml:space="preserve">Tous apprentis 1A &amp; 2A</t>
  </si>
  <si>
    <t xml:space="preserve">32 / 45 inscrits</t>
  </si>
  <si>
    <t xml:space="preserve">Référent mobilité + ancien parti</t>
  </si>
  <si>
    <t xml:space="preserve">CR-AT-2025-01.pdf + émargement</t>
  </si>
  <si>
    <t xml:space="preserve">10/02/26</t>
  </si>
  <si>
    <t xml:space="preserve">Témoignages des partis 2025</t>
  </si>
  <si>
    <t xml:space="preserve">Apprentis 1A intéressés</t>
  </si>
  <si>
    <t xml:space="preserve">18 présents</t>
  </si>
  <si>
    <t xml:space="preserve">Référent mobilité + 3 témoins</t>
  </si>
  <si>
    <t xml:space="preserve">CR-AT-2026-01.pdf</t>
  </si>
  <si>
    <t xml:space="preserve">🌍 ANNUAIRE DES PARTENAIRES MOBILITÉ</t>
  </si>
  <si>
    <t xml:space="preserve">Structures partenaires France + International — à entretenir année après année</t>
  </si>
  <si>
    <t xml:space="preserve">Nom du partenaire</t>
  </si>
  <si>
    <t xml:space="preserve">Pays/Ville</t>
  </si>
  <si>
    <t xml:space="preserve">Type</t>
  </si>
  <si>
    <t xml:space="preserve">Contact référent</t>
  </si>
  <si>
    <t xml:space="preserve">Convention signée</t>
  </si>
  <si>
    <t xml:space="preserve">Agence Erasmus+ France</t>
  </si>
  <si>
    <t xml:space="preserve">FR — Bordeaux</t>
  </si>
  <si>
    <t xml:space="preserve">Agence européenne</t>
  </si>
  <si>
    <t xml:space="preserve">[ email contact ]</t>
  </si>
  <si>
    <t xml:space="preserve">✓ Oui</t>
  </si>
  <si>
    <t xml:space="preserve">ES — Barcelone</t>
  </si>
  <si>
    <t xml:space="preserve">Entreprise d'accueil</t>
  </si>
  <si>
    <t xml:space="preserve">[ email RH ]</t>
  </si>
  <si>
    <t xml:space="preserve">Garage Bosch Stuttgart</t>
  </si>
  <si>
    <t xml:space="preserve">DE — Stuttgart</t>
  </si>
  <si>
    <t xml:space="preserve">⏳ En cours</t>
  </si>
  <si>
    <t xml:space="preserve">Conseil régional</t>
  </si>
  <si>
    <t xml:space="preserve">FR — [ région ]</t>
  </si>
  <si>
    <t xml:space="preserve">Financeur public</t>
  </si>
  <si>
    <t xml:space="preserve">[ email service formation ]</t>
  </si>
  <si>
    <t xml:space="preserve">📊 BILAN ANNUEL DES MOBILITÉS</t>
  </si>
  <si>
    <t xml:space="preserve">Indicateurs pour le conseil de perfectionnement + audit Qualiopi</t>
  </si>
  <si>
    <t xml:space="preserve">INDICATEUR</t>
  </si>
  <si>
    <t xml:space="preserve">Valeur</t>
  </si>
  <si>
    <t xml:space="preserve">Nombre d'apprentis ayant manifesté un intérêt</t>
  </si>
  <si>
    <t xml:space="preserve">Nombre de mobilités effectivement réalisées (Partie ou Revenue)</t>
  </si>
  <si>
    <t xml:space="preserve">Nombre de mobilités annulées (à analyser pour amélioration)</t>
  </si>
  <si>
    <t xml:space="preserve">Nombre d'ateliers d'information tenus dans l'année</t>
  </si>
  <si>
    <t xml:space="preserve">Nombre de partenaires actifs (convention signée)</t>
  </si>
  <si>
    <t xml:space="preserve">ANALYSE QUALITATIVE &amp; PLAN N+1</t>
  </si>
  <si>
    <t xml:space="preserve">Points forts de l'année</t>
  </si>
  <si>
    <t xml:space="preserve">[ Ex. Premier partenariat avec garage Bosch sécurisé ]</t>
  </si>
  <si>
    <t xml:space="preserve">Difficultés rencontrées</t>
  </si>
  <si>
    <t xml:space="preserve">[ Ex. 2 annulations cause linguistique — préparation à renforcer ]</t>
  </si>
  <si>
    <t xml:space="preserve">Actions correctives prévues N+1</t>
  </si>
  <si>
    <t xml:space="preserve">[ Ex. Cours d'anglais B1 obligatoire pré-départ ]</t>
  </si>
  <si>
    <t xml:space="preserve">Objectifs chiffrés N+1</t>
  </si>
  <si>
    <t xml:space="preserve">[ Ex. 8 départs effectifs visés (vs 5 en N) ]</t>
  </si>
</sst>
</file>

<file path=xl/styles.xml><?xml version="1.0" encoding="utf-8"?>
<styleSheet xmlns="http://schemas.openxmlformats.org/spreadsheetml/2006/main">
  <numFmts count="2">
    <numFmt numFmtId="164" formatCode="General"/>
    <numFmt numFmtId="165" formatCode="General"/>
  </numFmts>
  <fonts count="20">
    <font>
      <sz val="11"/>
      <color theme="1"/>
      <name val="Calibri"/>
      <family val="2"/>
      <charset val="1"/>
    </font>
    <font>
      <sz val="10"/>
      <name val="Arial"/>
      <family val="0"/>
    </font>
    <font>
      <sz val="10"/>
      <name val="Arial"/>
      <family val="0"/>
    </font>
    <font>
      <sz val="10"/>
      <name val="Arial"/>
      <family val="0"/>
    </font>
    <font>
      <b val="true"/>
      <sz val="20"/>
      <color rgb="FF0F2A47"/>
      <name val="Arial"/>
      <family val="0"/>
      <charset val="1"/>
    </font>
    <font>
      <i val="true"/>
      <sz val="11"/>
      <color rgb="FF5F5E5A"/>
      <name val="Arial"/>
      <family val="0"/>
      <charset val="1"/>
    </font>
    <font>
      <b val="true"/>
      <sz val="10"/>
      <color rgb="FFD85A30"/>
      <name val="Arial"/>
      <family val="0"/>
      <charset val="1"/>
    </font>
    <font>
      <sz val="10"/>
      <color rgb="FF2C2C2A"/>
      <name val="Arial"/>
      <family val="0"/>
      <charset val="1"/>
    </font>
    <font>
      <b val="true"/>
      <sz val="10"/>
      <color rgb="FF0F2A47"/>
      <name val="Arial"/>
      <family val="0"/>
      <charset val="1"/>
    </font>
    <font>
      <b val="true"/>
      <sz val="9"/>
      <color rgb="FFB98D27"/>
      <name val="Arial"/>
      <family val="0"/>
      <charset val="1"/>
    </font>
    <font>
      <sz val="9"/>
      <color rgb="FF2C2C2A"/>
      <name val="Arial"/>
      <family val="0"/>
      <charset val="1"/>
    </font>
    <font>
      <b val="true"/>
      <sz val="18"/>
      <color rgb="FF0F2A47"/>
      <name val="Arial"/>
      <family val="0"/>
      <charset val="1"/>
    </font>
    <font>
      <i val="true"/>
      <sz val="10"/>
      <color rgb="FF5F5E5A"/>
      <name val="Arial"/>
      <family val="0"/>
      <charset val="1"/>
    </font>
    <font>
      <b val="true"/>
      <sz val="10"/>
      <color rgb="FFFFFFFF"/>
      <name val="Arial"/>
      <family val="0"/>
      <charset val="1"/>
    </font>
    <font>
      <i val="true"/>
      <sz val="9"/>
      <color rgb="FF888780"/>
      <name val="Arial"/>
      <family val="0"/>
      <charset val="1"/>
    </font>
    <font>
      <b val="true"/>
      <sz val="11"/>
      <color rgb="FFFFFFFF"/>
      <name val="Arial"/>
      <family val="0"/>
      <charset val="1"/>
    </font>
    <font>
      <b val="true"/>
      <sz val="10"/>
      <color rgb="FF2C2C2A"/>
      <name val="Arial"/>
      <family val="0"/>
      <charset val="1"/>
    </font>
    <font>
      <b val="true"/>
      <sz val="14"/>
      <color rgb="FF0F2A47"/>
      <name val="Arial"/>
      <family val="0"/>
      <charset val="1"/>
    </font>
    <font>
      <b val="true"/>
      <sz val="11"/>
      <color rgb="FFD85A30"/>
      <name val="Arial"/>
      <family val="0"/>
      <charset val="1"/>
    </font>
    <font>
      <i val="true"/>
      <sz val="10"/>
      <color rgb="FF888780"/>
      <name val="Arial"/>
      <family val="0"/>
      <charset val="1"/>
    </font>
  </fonts>
  <fills count="8">
    <fill>
      <patternFill patternType="none"/>
    </fill>
    <fill>
      <patternFill patternType="gray125"/>
    </fill>
    <fill>
      <patternFill patternType="solid">
        <fgColor rgb="FFFBFAF6"/>
        <bgColor rgb="FFFFFFFF"/>
      </patternFill>
    </fill>
    <fill>
      <patternFill patternType="solid">
        <fgColor rgb="FFFAEEDA"/>
        <bgColor rgb="FFF1EFE8"/>
      </patternFill>
    </fill>
    <fill>
      <patternFill patternType="solid">
        <fgColor rgb="FF0F2A47"/>
        <bgColor rgb="FF2C2C2A"/>
      </patternFill>
    </fill>
    <fill>
      <patternFill patternType="solid">
        <fgColor rgb="FFF1EFE8"/>
        <bgColor rgb="FFFAEEDA"/>
      </patternFill>
    </fill>
    <fill>
      <patternFill patternType="solid">
        <fgColor rgb="FFE6F0FA"/>
        <bgColor rgb="FFF1EFE8"/>
      </patternFill>
    </fill>
    <fill>
      <patternFill patternType="solid">
        <fgColor rgb="FFFFFFFF"/>
        <bgColor rgb="FFFBFAF6"/>
      </patternFill>
    </fill>
  </fills>
  <borders count="5">
    <border diagonalUp="false" diagonalDown="false">
      <left/>
      <right/>
      <top/>
      <bottom/>
      <diagonal/>
    </border>
    <border diagonalUp="false" diagonalDown="false">
      <left/>
      <right/>
      <top style="medium">
        <color rgb="FFD85A30"/>
      </top>
      <bottom/>
      <diagonal/>
    </border>
    <border diagonalUp="false" diagonalDown="false">
      <left style="thin">
        <color rgb="FFD3D1C7"/>
      </left>
      <right style="thin">
        <color rgb="FFD3D1C7"/>
      </right>
      <top style="thin">
        <color rgb="FFD3D1C7"/>
      </top>
      <bottom style="thin">
        <color rgb="FFD3D1C7"/>
      </bottom>
      <diagonal/>
    </border>
    <border diagonalUp="false" diagonalDown="false">
      <left style="thick">
        <color rgb="FFB98D27"/>
      </left>
      <right style="thin">
        <color rgb="FFD3D1C7"/>
      </right>
      <top style="thin">
        <color rgb="FFD3D1C7"/>
      </top>
      <bottom style="thin">
        <color rgb="FFD3D1C7"/>
      </bottom>
      <diagonal/>
    </border>
    <border diagonalUp="false" diagonalDown="false">
      <left/>
      <right style="thin">
        <color rgb="FFD3D1C7"/>
      </right>
      <top style="thin">
        <color rgb="FFD3D1C7"/>
      </top>
      <bottom style="thin">
        <color rgb="FFD3D1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2" borderId="2"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9" fillId="3" borderId="3" xfId="0" applyFont="true" applyBorder="true" applyAlignment="false" applyProtection="false">
      <alignment horizontal="general" vertical="bottom" textRotation="0" wrapText="false" indent="0" shrinkToFit="false"/>
      <protection locked="true" hidden="false"/>
    </xf>
    <xf numFmtId="164" fontId="10" fillId="3" borderId="4"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3" fillId="4" borderId="2" xfId="0" applyFont="true" applyBorder="true" applyAlignment="true" applyProtection="false">
      <alignment horizontal="center" vertical="center" textRotation="0" wrapText="true" indent="0" shrinkToFit="false"/>
      <protection locked="true" hidden="false"/>
    </xf>
    <xf numFmtId="164" fontId="14" fillId="5" borderId="2" xfId="0" applyFont="true" applyBorder="true" applyAlignment="true" applyProtection="false">
      <alignment horizontal="center" vertical="center" textRotation="0" wrapText="false" indent="0" shrinkToFit="false"/>
      <protection locked="true" hidden="false"/>
    </xf>
    <xf numFmtId="164" fontId="14" fillId="5" borderId="2" xfId="0" applyFont="true" applyBorder="true" applyAlignment="true" applyProtection="false">
      <alignment horizontal="left" vertical="top" textRotation="0" wrapText="true" indent="0" shrinkToFit="false"/>
      <protection locked="true" hidden="false"/>
    </xf>
    <xf numFmtId="164" fontId="10" fillId="6" borderId="2" xfId="0" applyFont="true" applyBorder="true" applyAlignment="true" applyProtection="false">
      <alignment horizontal="center" vertical="center" textRotation="0" wrapText="false" indent="0" shrinkToFit="false"/>
      <protection locked="true" hidden="false"/>
    </xf>
    <xf numFmtId="164" fontId="10" fillId="6" borderId="2" xfId="0" applyFont="true" applyBorder="true" applyAlignment="true" applyProtection="false">
      <alignment horizontal="left" vertical="center" textRotation="0" wrapText="tru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7" fillId="6" borderId="2" xfId="0" applyFont="true" applyBorder="true" applyAlignment="true" applyProtection="false">
      <alignment horizontal="center" vertical="center" textRotation="0" wrapText="false" indent="0" shrinkToFit="false"/>
      <protection locked="true" hidden="false"/>
    </xf>
    <xf numFmtId="164" fontId="15" fillId="4" borderId="2" xfId="0" applyFont="true" applyBorder="true" applyAlignment="true" applyProtection="false">
      <alignment horizontal="center" vertical="center" textRotation="0" wrapText="true" indent="0" shrinkToFit="false"/>
      <protection locked="true" hidden="false"/>
    </xf>
    <xf numFmtId="164" fontId="16" fillId="2" borderId="2" xfId="0" applyFont="true" applyBorder="true" applyAlignment="true" applyProtection="false">
      <alignment horizontal="left" vertical="center" textRotation="0" wrapText="true" indent="0" shrinkToFit="false"/>
      <protection locked="true" hidden="false"/>
    </xf>
    <xf numFmtId="165" fontId="17" fillId="7" borderId="2"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true" applyAlignment="true" applyProtection="false">
      <alignment horizontal="left" vertical="center" textRotation="0" wrapText="true" indent="0" shrinkToFit="false"/>
      <protection locked="true" hidden="false"/>
    </xf>
    <xf numFmtId="164" fontId="19" fillId="5"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D8EBC2"/>
        </patternFill>
      </fill>
    </dxf>
    <dxf>
      <fill>
        <patternFill>
          <bgColor rgb="FFF7DCB8"/>
        </patternFill>
      </fill>
    </dxf>
    <dxf>
      <fill>
        <patternFill>
          <bgColor rgb="FFE6F0FA"/>
        </patternFill>
      </fill>
    </dxf>
    <dxf>
      <fill>
        <patternFill>
          <bgColor rgb="FFF5C7C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98D27"/>
      <rgbColor rgb="FF800080"/>
      <rgbColor rgb="FF008080"/>
      <rgbColor rgb="FFD3D1C7"/>
      <rgbColor rgb="FF888780"/>
      <rgbColor rgb="FF9999FF"/>
      <rgbColor rgb="FF993366"/>
      <rgbColor rgb="FFFAEEDA"/>
      <rgbColor rgb="FFE6F0FA"/>
      <rgbColor rgb="FF660066"/>
      <rgbColor rgb="FFFF8080"/>
      <rgbColor rgb="FF0066CC"/>
      <rgbColor rgb="FFFBFAF6"/>
      <rgbColor rgb="FF000080"/>
      <rgbColor rgb="FFFF00FF"/>
      <rgbColor rgb="FFFFFF00"/>
      <rgbColor rgb="FF00FFFF"/>
      <rgbColor rgb="FF800080"/>
      <rgbColor rgb="FF800000"/>
      <rgbColor rgb="FF008080"/>
      <rgbColor rgb="FF0000FF"/>
      <rgbColor rgb="FF00CCFF"/>
      <rgbColor rgb="FFF1EFE8"/>
      <rgbColor rgb="FFD8EBC2"/>
      <rgbColor rgb="FFF7DCB8"/>
      <rgbColor rgb="FF99CCFF"/>
      <rgbColor rgb="FFFF99CC"/>
      <rgbColor rgb="FFCC99FF"/>
      <rgbColor rgb="FFF5C7C0"/>
      <rgbColor rgb="FF3366FF"/>
      <rgbColor rgb="FF33CCCC"/>
      <rgbColor rgb="FF99CC00"/>
      <rgbColor rgb="FFFFCC00"/>
      <rgbColor rgb="FFFF9900"/>
      <rgbColor rgb="FFD85A30"/>
      <rgbColor rgb="FF5F5E5A"/>
      <rgbColor rgb="FF969696"/>
      <rgbColor rgb="FF0F2A47"/>
      <rgbColor rgb="FF339966"/>
      <rgbColor rgb="FF003300"/>
      <rgbColor rgb="FF333300"/>
      <rgbColor rgb="FF993300"/>
      <rgbColor rgb="FF993366"/>
      <rgbColor rgb="FF333399"/>
      <rgbColor rgb="FF2C2C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60"/>
    <col collapsed="false" customWidth="true" hidden="false" outlineLevel="0" max="4" min="4" style="0" width="3"/>
  </cols>
  <sheetData>
    <row r="2" customFormat="false" ht="31.5" hidden="false" customHeight="true" outlineLevel="0" collapsed="false">
      <c r="B2" s="1" t="s">
        <v>0</v>
      </c>
      <c r="C2" s="1"/>
    </row>
    <row r="3" customFormat="false" ht="21.75" hidden="false" customHeight="true" outlineLevel="0" collapsed="false">
      <c r="B3" s="2" t="s">
        <v>1</v>
      </c>
      <c r="C3" s="2"/>
    </row>
    <row r="4" customFormat="false" ht="6" hidden="false" customHeight="true" outlineLevel="0" collapsed="false">
      <c r="B4" s="3"/>
      <c r="C4" s="3"/>
    </row>
    <row r="6" customFormat="false" ht="21.75" hidden="false" customHeight="true" outlineLevel="0" collapsed="false">
      <c r="B6" s="4" t="s">
        <v>2</v>
      </c>
      <c r="C6" s="4"/>
    </row>
    <row r="7" customFormat="false" ht="79.5" hidden="false" customHeight="true" outlineLevel="0" collapsed="false">
      <c r="C7" s="5" t="s">
        <v>3</v>
      </c>
    </row>
    <row r="9" customFormat="false" ht="21.75" hidden="false" customHeight="true" outlineLevel="0" collapsed="false">
      <c r="B9" s="4" t="s">
        <v>4</v>
      </c>
      <c r="C9" s="4"/>
    </row>
    <row r="10" customFormat="false" ht="36" hidden="false" customHeight="true" outlineLevel="0" collapsed="false">
      <c r="B10" s="6" t="s">
        <v>5</v>
      </c>
      <c r="C10" s="7" t="s">
        <v>6</v>
      </c>
    </row>
    <row r="11" customFormat="false" ht="36" hidden="false" customHeight="true" outlineLevel="0" collapsed="false">
      <c r="B11" s="6" t="s">
        <v>7</v>
      </c>
      <c r="C11" s="7" t="s">
        <v>8</v>
      </c>
    </row>
    <row r="12" customFormat="false" ht="36" hidden="false" customHeight="true" outlineLevel="0" collapsed="false">
      <c r="B12" s="6" t="s">
        <v>9</v>
      </c>
      <c r="C12" s="7" t="s">
        <v>10</v>
      </c>
    </row>
    <row r="13" customFormat="false" ht="36" hidden="false" customHeight="true" outlineLevel="0" collapsed="false">
      <c r="B13" s="6" t="s">
        <v>11</v>
      </c>
      <c r="C13" s="7" t="s">
        <v>12</v>
      </c>
    </row>
    <row r="15" customFormat="false" ht="49.5" hidden="false" customHeight="true" outlineLevel="0" collapsed="false">
      <c r="B15" s="8" t="s">
        <v>13</v>
      </c>
      <c r="C15" s="9" t="s">
        <v>14</v>
      </c>
    </row>
  </sheetData>
  <mergeCells count="4">
    <mergeCell ref="B2:C2"/>
    <mergeCell ref="B3:C3"/>
    <mergeCell ref="B6:C6"/>
    <mergeCell ref="B9:C9"/>
  </mergeCells>
  <printOptions headings="false" gridLines="false" gridLinesSet="true" horizontalCentered="true" verticalCentered="false"/>
  <pageMargins left="0.4" right="0.4" top="0.6" bottom="0.6" header="0.511811023622047" footer="0.3"/>
  <pageSetup paperSize="9" scale="100" fitToWidth="1" fitToHeight="0" pageOrder="downThenOver" orientation="portrait" blackAndWhite="false" draft="false" cellComments="none" horizontalDpi="300" verticalDpi="300" copies="1"/>
  <headerFooter differentFirst="false" differentOddEven="false">
    <oddHeader/>
    <oddFooter>&amp;C&amp;9 &amp;K888780M37 — Registre des mobilités CFA  ·  &amp;A  ·  Page &amp;P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22"/>
    <col collapsed="false" customWidth="true" hidden="false" outlineLevel="0" max="5" min="4" style="0" width="14"/>
    <col collapsed="false" customWidth="true" hidden="false" outlineLevel="0" max="6" min="6" style="0" width="22"/>
    <col collapsed="false" customWidth="true" hidden="false" outlineLevel="0" max="7" min="7" style="0" width="20"/>
    <col collapsed="false" customWidth="true" hidden="false" outlineLevel="0" max="8" min="8" style="0" width="12"/>
    <col collapsed="false" customWidth="true" hidden="false" outlineLevel="0" max="10" min="9" style="0" width="16"/>
    <col collapsed="false" customWidth="true" hidden="false" outlineLevel="0" max="11" min="11" style="0" width="2"/>
  </cols>
  <sheetData>
    <row r="2" customFormat="false" ht="30" hidden="false" customHeight="true" outlineLevel="0" collapsed="false">
      <c r="B2" s="10" t="s">
        <v>15</v>
      </c>
      <c r="C2" s="10"/>
      <c r="D2" s="10"/>
      <c r="E2" s="10"/>
      <c r="F2" s="10"/>
      <c r="G2" s="10"/>
      <c r="H2" s="10"/>
      <c r="I2" s="10"/>
      <c r="J2" s="10"/>
    </row>
    <row r="3" customFormat="false" ht="19.5" hidden="false" customHeight="true" outlineLevel="0" collapsed="false">
      <c r="B3" s="11" t="s">
        <v>16</v>
      </c>
      <c r="C3" s="11"/>
      <c r="D3" s="11"/>
      <c r="E3" s="11"/>
      <c r="F3" s="11"/>
      <c r="G3" s="11"/>
      <c r="H3" s="11"/>
      <c r="I3" s="11"/>
      <c r="J3" s="11"/>
    </row>
    <row r="4" customFormat="false" ht="6" hidden="false" customHeight="true" outlineLevel="0" collapsed="false">
      <c r="B4" s="3"/>
      <c r="C4" s="3"/>
      <c r="D4" s="3"/>
      <c r="E4" s="3"/>
      <c r="F4" s="3"/>
      <c r="G4" s="3"/>
      <c r="H4" s="3"/>
      <c r="I4" s="3"/>
      <c r="J4" s="3"/>
    </row>
    <row r="6" customFormat="false" ht="31.5" hidden="false" customHeight="true" outlineLevel="0" collapsed="false">
      <c r="B6" s="12" t="s">
        <v>17</v>
      </c>
      <c r="C6" s="12" t="s">
        <v>18</v>
      </c>
      <c r="D6" s="12" t="s">
        <v>19</v>
      </c>
      <c r="E6" s="12" t="s">
        <v>20</v>
      </c>
      <c r="F6" s="12" t="s">
        <v>21</v>
      </c>
      <c r="G6" s="12" t="s">
        <v>22</v>
      </c>
      <c r="H6" s="12" t="s">
        <v>23</v>
      </c>
      <c r="I6" s="12" t="s">
        <v>24</v>
      </c>
      <c r="J6" s="12" t="s">
        <v>25</v>
      </c>
    </row>
    <row r="7" customFormat="false" ht="25.5" hidden="false" customHeight="true" outlineLevel="0" collapsed="false">
      <c r="B7" s="13" t="s">
        <v>26</v>
      </c>
      <c r="C7" s="14" t="s">
        <v>27</v>
      </c>
      <c r="D7" s="14" t="s">
        <v>28</v>
      </c>
      <c r="E7" s="13" t="s">
        <v>29</v>
      </c>
      <c r="F7" s="14" t="s">
        <v>30</v>
      </c>
      <c r="G7" s="14" t="s">
        <v>31</v>
      </c>
      <c r="H7" s="13" t="s">
        <v>32</v>
      </c>
      <c r="I7" s="14" t="s">
        <v>33</v>
      </c>
      <c r="J7" s="14" t="s">
        <v>34</v>
      </c>
    </row>
    <row r="8" customFormat="false" ht="25.5" hidden="false" customHeight="true" outlineLevel="0" collapsed="false">
      <c r="B8" s="13" t="s">
        <v>35</v>
      </c>
      <c r="C8" s="14" t="s">
        <v>36</v>
      </c>
      <c r="D8" s="14" t="s">
        <v>37</v>
      </c>
      <c r="E8" s="13" t="s">
        <v>38</v>
      </c>
      <c r="F8" s="14" t="s">
        <v>39</v>
      </c>
      <c r="G8" s="14" t="s">
        <v>40</v>
      </c>
      <c r="H8" s="13" t="s">
        <v>41</v>
      </c>
      <c r="I8" s="14" t="s">
        <v>42</v>
      </c>
      <c r="J8" s="14" t="s">
        <v>43</v>
      </c>
    </row>
    <row r="9" customFormat="false" ht="25.5" hidden="false" customHeight="true" outlineLevel="0" collapsed="false">
      <c r="B9" s="13" t="s">
        <v>44</v>
      </c>
      <c r="C9" s="14" t="s">
        <v>45</v>
      </c>
      <c r="D9" s="14" t="s">
        <v>46</v>
      </c>
      <c r="E9" s="13" t="s">
        <v>47</v>
      </c>
      <c r="F9" s="14" t="s">
        <v>48</v>
      </c>
      <c r="G9" s="14" t="s">
        <v>49</v>
      </c>
      <c r="H9" s="13" t="s">
        <v>50</v>
      </c>
      <c r="I9" s="14" t="s">
        <v>51</v>
      </c>
      <c r="J9" s="14" t="s">
        <v>52</v>
      </c>
    </row>
    <row r="10" customFormat="false" ht="25.5" hidden="false" customHeight="true" outlineLevel="0" collapsed="false">
      <c r="B10" s="13" t="s">
        <v>53</v>
      </c>
      <c r="C10" s="14" t="s">
        <v>54</v>
      </c>
      <c r="D10" s="14" t="s">
        <v>55</v>
      </c>
      <c r="E10" s="13" t="s">
        <v>56</v>
      </c>
      <c r="F10" s="14" t="s">
        <v>57</v>
      </c>
      <c r="G10" s="14" t="s">
        <v>58</v>
      </c>
      <c r="H10" s="13" t="s">
        <v>59</v>
      </c>
      <c r="I10" s="14" t="s">
        <v>60</v>
      </c>
      <c r="J10" s="14" t="s">
        <v>61</v>
      </c>
    </row>
    <row r="11" customFormat="false" ht="24" hidden="false" customHeight="true" outlineLevel="0" collapsed="false">
      <c r="B11" s="15"/>
      <c r="C11" s="16"/>
      <c r="D11" s="16"/>
      <c r="E11" s="15"/>
      <c r="F11" s="16"/>
      <c r="G11" s="16"/>
      <c r="H11" s="15"/>
      <c r="I11" s="16"/>
      <c r="J11" s="16"/>
    </row>
    <row r="12" customFormat="false" ht="24" hidden="false" customHeight="true" outlineLevel="0" collapsed="false">
      <c r="B12" s="15"/>
      <c r="C12" s="16"/>
      <c r="D12" s="16"/>
      <c r="E12" s="15"/>
      <c r="F12" s="16"/>
      <c r="G12" s="16"/>
      <c r="H12" s="15"/>
      <c r="I12" s="16"/>
      <c r="J12" s="16"/>
    </row>
    <row r="13" customFormat="false" ht="24" hidden="false" customHeight="true" outlineLevel="0" collapsed="false">
      <c r="B13" s="15"/>
      <c r="C13" s="16"/>
      <c r="D13" s="16"/>
      <c r="E13" s="15"/>
      <c r="F13" s="16"/>
      <c r="G13" s="16"/>
      <c r="H13" s="15"/>
      <c r="I13" s="16"/>
      <c r="J13" s="16"/>
    </row>
    <row r="14" customFormat="false" ht="24" hidden="false" customHeight="true" outlineLevel="0" collapsed="false">
      <c r="B14" s="15"/>
      <c r="C14" s="16"/>
      <c r="D14" s="16"/>
      <c r="E14" s="15"/>
      <c r="F14" s="16"/>
      <c r="G14" s="16"/>
      <c r="H14" s="15"/>
      <c r="I14" s="16"/>
      <c r="J14" s="16"/>
    </row>
    <row r="15" customFormat="false" ht="24" hidden="false" customHeight="true" outlineLevel="0" collapsed="false">
      <c r="B15" s="15"/>
      <c r="C15" s="16"/>
      <c r="D15" s="16"/>
      <c r="E15" s="15"/>
      <c r="F15" s="16"/>
      <c r="G15" s="16"/>
      <c r="H15" s="15"/>
      <c r="I15" s="16"/>
      <c r="J15" s="16"/>
    </row>
    <row r="16" customFormat="false" ht="24" hidden="false" customHeight="true" outlineLevel="0" collapsed="false">
      <c r="B16" s="15"/>
      <c r="C16" s="16"/>
      <c r="D16" s="16"/>
      <c r="E16" s="15"/>
      <c r="F16" s="16"/>
      <c r="G16" s="16"/>
      <c r="H16" s="15"/>
      <c r="I16" s="16"/>
      <c r="J16" s="16"/>
    </row>
    <row r="17" customFormat="false" ht="24" hidden="false" customHeight="true" outlineLevel="0" collapsed="false">
      <c r="B17" s="15"/>
      <c r="C17" s="16"/>
      <c r="D17" s="16"/>
      <c r="E17" s="15"/>
      <c r="F17" s="16"/>
      <c r="G17" s="16"/>
      <c r="H17" s="15"/>
      <c r="I17" s="16"/>
      <c r="J17" s="16"/>
    </row>
    <row r="18" customFormat="false" ht="24" hidden="false" customHeight="true" outlineLevel="0" collapsed="false">
      <c r="B18" s="15"/>
      <c r="C18" s="16"/>
      <c r="D18" s="16"/>
      <c r="E18" s="15"/>
      <c r="F18" s="16"/>
      <c r="G18" s="16"/>
      <c r="H18" s="15"/>
      <c r="I18" s="16"/>
      <c r="J18" s="16"/>
    </row>
    <row r="19" customFormat="false" ht="24" hidden="false" customHeight="true" outlineLevel="0" collapsed="false">
      <c r="B19" s="15"/>
      <c r="C19" s="16"/>
      <c r="D19" s="16"/>
      <c r="E19" s="15"/>
      <c r="F19" s="16"/>
      <c r="G19" s="16"/>
      <c r="H19" s="15"/>
      <c r="I19" s="16"/>
      <c r="J19" s="16"/>
    </row>
    <row r="20" customFormat="false" ht="24" hidden="false" customHeight="true" outlineLevel="0" collapsed="false">
      <c r="B20" s="15"/>
      <c r="C20" s="16"/>
      <c r="D20" s="16"/>
      <c r="E20" s="15"/>
      <c r="F20" s="16"/>
      <c r="G20" s="16"/>
      <c r="H20" s="15"/>
      <c r="I20" s="16"/>
      <c r="J20" s="16"/>
    </row>
    <row r="21" customFormat="false" ht="24" hidden="false" customHeight="true" outlineLevel="0" collapsed="false">
      <c r="B21" s="15"/>
      <c r="C21" s="16"/>
      <c r="D21" s="16"/>
      <c r="E21" s="15"/>
      <c r="F21" s="16"/>
      <c r="G21" s="16"/>
      <c r="H21" s="15"/>
      <c r="I21" s="16"/>
      <c r="J21" s="16"/>
    </row>
    <row r="22" customFormat="false" ht="24" hidden="false" customHeight="true" outlineLevel="0" collapsed="false">
      <c r="B22" s="15"/>
      <c r="C22" s="16"/>
      <c r="D22" s="16"/>
      <c r="E22" s="15"/>
      <c r="F22" s="16"/>
      <c r="G22" s="16"/>
      <c r="H22" s="15"/>
      <c r="I22" s="16"/>
      <c r="J22" s="16"/>
    </row>
    <row r="23" customFormat="false" ht="24" hidden="false" customHeight="true" outlineLevel="0" collapsed="false">
      <c r="B23" s="15"/>
      <c r="C23" s="16"/>
      <c r="D23" s="16"/>
      <c r="E23" s="15"/>
      <c r="F23" s="16"/>
      <c r="G23" s="16"/>
      <c r="H23" s="15"/>
      <c r="I23" s="16"/>
      <c r="J23" s="16"/>
    </row>
    <row r="24" customFormat="false" ht="24" hidden="false" customHeight="true" outlineLevel="0" collapsed="false">
      <c r="B24" s="15"/>
      <c r="C24" s="16"/>
      <c r="D24" s="16"/>
      <c r="E24" s="15"/>
      <c r="F24" s="16"/>
      <c r="G24" s="16"/>
      <c r="H24" s="15"/>
      <c r="I24" s="16"/>
      <c r="J24" s="16"/>
    </row>
    <row r="25" customFormat="false" ht="24" hidden="false" customHeight="true" outlineLevel="0" collapsed="false">
      <c r="B25" s="15"/>
      <c r="C25" s="16"/>
      <c r="D25" s="16"/>
      <c r="E25" s="15"/>
      <c r="F25" s="16"/>
      <c r="G25" s="16"/>
      <c r="H25" s="15"/>
      <c r="I25" s="16"/>
      <c r="J25" s="16"/>
    </row>
    <row r="26" customFormat="false" ht="24" hidden="false" customHeight="true" outlineLevel="0" collapsed="false">
      <c r="B26" s="15"/>
      <c r="C26" s="16"/>
      <c r="D26" s="16"/>
      <c r="E26" s="15"/>
      <c r="F26" s="16"/>
      <c r="G26" s="16"/>
      <c r="H26" s="15"/>
      <c r="I26" s="16"/>
      <c r="J26" s="16"/>
    </row>
    <row r="27" customFormat="false" ht="24" hidden="false" customHeight="true" outlineLevel="0" collapsed="false">
      <c r="B27" s="15"/>
      <c r="C27" s="16"/>
      <c r="D27" s="16"/>
      <c r="E27" s="15"/>
      <c r="F27" s="16"/>
      <c r="G27" s="16"/>
      <c r="H27" s="15"/>
      <c r="I27" s="16"/>
      <c r="J27" s="16"/>
    </row>
    <row r="28" customFormat="false" ht="24" hidden="false" customHeight="true" outlineLevel="0" collapsed="false">
      <c r="B28" s="15"/>
      <c r="C28" s="16"/>
      <c r="D28" s="16"/>
      <c r="E28" s="15"/>
      <c r="F28" s="16"/>
      <c r="G28" s="16"/>
      <c r="H28" s="15"/>
      <c r="I28" s="16"/>
      <c r="J28" s="16"/>
    </row>
    <row r="29" customFormat="false" ht="24" hidden="false" customHeight="true" outlineLevel="0" collapsed="false">
      <c r="B29" s="15"/>
      <c r="C29" s="16"/>
      <c r="D29" s="16"/>
      <c r="E29" s="15"/>
      <c r="F29" s="16"/>
      <c r="G29" s="16"/>
      <c r="H29" s="15"/>
      <c r="I29" s="16"/>
      <c r="J29" s="16"/>
    </row>
    <row r="30" customFormat="false" ht="24" hidden="false" customHeight="true" outlineLevel="0" collapsed="false">
      <c r="B30" s="15"/>
      <c r="C30" s="16"/>
      <c r="D30" s="16"/>
      <c r="E30" s="15"/>
      <c r="F30" s="16"/>
      <c r="G30" s="16"/>
      <c r="H30" s="15"/>
      <c r="I30" s="16"/>
      <c r="J30" s="16"/>
    </row>
  </sheetData>
  <mergeCells count="2">
    <mergeCell ref="B2:J2"/>
    <mergeCell ref="B3:J3"/>
  </mergeCells>
  <conditionalFormatting sqref="J7:J30">
    <cfRule type="expression" priority="2" aboveAverage="0" equalAverage="0" bottom="0" percent="0" rank="0" text="" dxfId="0">
      <formula>J7="Revenue"</formula>
    </cfRule>
    <cfRule type="expression" priority="3" aboveAverage="0" equalAverage="0" bottom="0" percent="0" rank="0" text="" dxfId="0">
      <formula>J7="Partie"</formula>
    </cfRule>
    <cfRule type="expression" priority="4" aboveAverage="0" equalAverage="0" bottom="0" percent="0" rank="0" text="" dxfId="1">
      <formula>J7="En préparation"</formula>
    </cfRule>
    <cfRule type="expression" priority="5" aboveAverage="0" equalAverage="0" bottom="0" percent="0" rank="0" text="" dxfId="2">
      <formula>J7="Intérêt manifesté"</formula>
    </cfRule>
    <cfRule type="expression" priority="6" aboveAverage="0" equalAverage="0" bottom="0" percent="0" rank="0" text="" dxfId="3">
      <formula>J7="Annulée"</formula>
    </cfRule>
  </conditionalFormatting>
  <dataValidations count="1">
    <dataValidation allowBlank="true" errorStyle="stop" operator="between" showDropDown="false" showErrorMessage="false" showInputMessage="false" sqref="J11:J30" type="list">
      <formula1>"Intérêt manifesté,En préparation,Partie,Revenue,Annulée"</formula1>
      <formula2>0</formula2>
    </dataValidation>
  </dataValidations>
  <printOptions headings="false" gridLines="false" gridLinesSet="true" horizontalCentered="true" verticalCentered="false"/>
  <pageMargins left="0.4" right="0.4" top="0.6" bottom="0.6"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&amp;C&amp;9 &amp;K888780M37 — Registre des mobilités CFA  ·  &amp;A  ·  Page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14"/>
    <col collapsed="false" customWidth="true" hidden="false" outlineLevel="0" max="4" min="4" style="0" width="26"/>
    <col collapsed="false" customWidth="true" hidden="false" outlineLevel="0" max="5" min="5" style="0" width="18"/>
    <col collapsed="false" customWidth="true" hidden="false" outlineLevel="0" max="6" min="6" style="0" width="14"/>
    <col collapsed="false" customWidth="true" hidden="false" outlineLevel="0" max="7" min="7" style="0" width="30"/>
    <col collapsed="false" customWidth="true" hidden="false" outlineLevel="0" max="8" min="8" style="0" width="2"/>
  </cols>
  <sheetData>
    <row r="2" customFormat="false" ht="30" hidden="false" customHeight="true" outlineLevel="0" collapsed="false">
      <c r="B2" s="10" t="s">
        <v>62</v>
      </c>
      <c r="C2" s="10"/>
      <c r="D2" s="10"/>
      <c r="E2" s="10"/>
      <c r="F2" s="10"/>
      <c r="G2" s="10"/>
    </row>
    <row r="3" customFormat="false" ht="19.5" hidden="false" customHeight="true" outlineLevel="0" collapsed="false">
      <c r="B3" s="11" t="s">
        <v>63</v>
      </c>
      <c r="C3" s="11"/>
      <c r="D3" s="11"/>
      <c r="E3" s="11"/>
      <c r="F3" s="11"/>
      <c r="G3" s="11"/>
    </row>
    <row r="4" customFormat="false" ht="6" hidden="false" customHeight="true" outlineLevel="0" collapsed="false">
      <c r="B4" s="3"/>
      <c r="C4" s="3"/>
      <c r="D4" s="3"/>
      <c r="E4" s="3"/>
      <c r="F4" s="3"/>
      <c r="G4" s="3"/>
    </row>
    <row r="6" customFormat="false" ht="30" hidden="false" customHeight="true" outlineLevel="0" collapsed="false">
      <c r="B6" s="12" t="s">
        <v>17</v>
      </c>
      <c r="C6" s="12" t="s">
        <v>64</v>
      </c>
      <c r="D6" s="12" t="s">
        <v>65</v>
      </c>
      <c r="E6" s="12" t="s">
        <v>66</v>
      </c>
      <c r="F6" s="12" t="s">
        <v>67</v>
      </c>
      <c r="G6" s="12" t="s">
        <v>68</v>
      </c>
      <c r="H6" s="12" t="s">
        <v>69</v>
      </c>
    </row>
    <row r="7" customFormat="false" ht="31.5" hidden="false" customHeight="true" outlineLevel="0" collapsed="false">
      <c r="B7" s="13" t="s">
        <v>26</v>
      </c>
      <c r="C7" s="13" t="s">
        <v>70</v>
      </c>
      <c r="D7" s="14" t="s">
        <v>71</v>
      </c>
      <c r="E7" s="14" t="s">
        <v>72</v>
      </c>
      <c r="F7" s="13" t="s">
        <v>73</v>
      </c>
      <c r="G7" s="14" t="s">
        <v>74</v>
      </c>
      <c r="H7" s="14" t="s">
        <v>75</v>
      </c>
    </row>
    <row r="8" customFormat="false" ht="31.5" hidden="false" customHeight="true" outlineLevel="0" collapsed="false">
      <c r="B8" s="13" t="s">
        <v>35</v>
      </c>
      <c r="C8" s="13" t="s">
        <v>76</v>
      </c>
      <c r="D8" s="14" t="s">
        <v>77</v>
      </c>
      <c r="E8" s="14" t="s">
        <v>78</v>
      </c>
      <c r="F8" s="13" t="s">
        <v>79</v>
      </c>
      <c r="G8" s="14" t="s">
        <v>80</v>
      </c>
      <c r="H8" s="14" t="s">
        <v>81</v>
      </c>
    </row>
    <row r="9" customFormat="false" ht="27.75" hidden="false" customHeight="true" outlineLevel="0" collapsed="false">
      <c r="B9" s="17"/>
      <c r="C9" s="17"/>
      <c r="D9" s="17"/>
      <c r="E9" s="17"/>
      <c r="F9" s="17"/>
      <c r="G9" s="17"/>
      <c r="H9" s="17"/>
    </row>
    <row r="10" customFormat="false" ht="27.75" hidden="false" customHeight="true" outlineLevel="0" collapsed="false">
      <c r="B10" s="17"/>
      <c r="C10" s="17"/>
      <c r="D10" s="17"/>
      <c r="E10" s="17"/>
      <c r="F10" s="17"/>
      <c r="G10" s="17"/>
      <c r="H10" s="17"/>
    </row>
    <row r="11" customFormat="false" ht="27.75" hidden="false" customHeight="true" outlineLevel="0" collapsed="false">
      <c r="B11" s="17"/>
      <c r="C11" s="17"/>
      <c r="D11" s="17"/>
      <c r="E11" s="17"/>
      <c r="F11" s="17"/>
      <c r="G11" s="17"/>
      <c r="H11" s="17"/>
    </row>
    <row r="12" customFormat="false" ht="27.75" hidden="false" customHeight="true" outlineLevel="0" collapsed="false">
      <c r="B12" s="17"/>
      <c r="C12" s="17"/>
      <c r="D12" s="17"/>
      <c r="E12" s="17"/>
      <c r="F12" s="17"/>
      <c r="G12" s="17"/>
      <c r="H12" s="17"/>
    </row>
    <row r="13" customFormat="false" ht="27.75" hidden="false" customHeight="true" outlineLevel="0" collapsed="false">
      <c r="B13" s="17"/>
      <c r="C13" s="17"/>
      <c r="D13" s="17"/>
      <c r="E13" s="17"/>
      <c r="F13" s="17"/>
      <c r="G13" s="17"/>
      <c r="H13" s="17"/>
    </row>
    <row r="14" customFormat="false" ht="27.75" hidden="false" customHeight="true" outlineLevel="0" collapsed="false">
      <c r="B14" s="17"/>
      <c r="C14" s="17"/>
      <c r="D14" s="17"/>
      <c r="E14" s="17"/>
      <c r="F14" s="17"/>
      <c r="G14" s="17"/>
      <c r="H14" s="17"/>
    </row>
    <row r="15" customFormat="false" ht="27.75" hidden="false" customHeight="true" outlineLevel="0" collapsed="false">
      <c r="B15" s="17"/>
      <c r="C15" s="17"/>
      <c r="D15" s="17"/>
      <c r="E15" s="17"/>
      <c r="F15" s="17"/>
      <c r="G15" s="17"/>
      <c r="H15" s="17"/>
    </row>
    <row r="16" customFormat="false" ht="27.75" hidden="false" customHeight="true" outlineLevel="0" collapsed="false">
      <c r="B16" s="17"/>
      <c r="C16" s="17"/>
      <c r="D16" s="17"/>
      <c r="E16" s="17"/>
      <c r="F16" s="17"/>
      <c r="G16" s="17"/>
      <c r="H16" s="17"/>
    </row>
  </sheetData>
  <mergeCells count="2">
    <mergeCell ref="B2:G2"/>
    <mergeCell ref="B3:G3"/>
  </mergeCells>
  <printOptions headings="false" gridLines="false" gridLinesSet="true" horizontalCentered="true" verticalCentered="false"/>
  <pageMargins left="0.4" right="0.4" top="0.6" bottom="0.6"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&amp;C&amp;9 &amp;K888780M37 — Registre des mobilités CFA  ·  &amp;A  ·  Page &amp;P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28"/>
    <col collapsed="false" customWidth="true" hidden="false" outlineLevel="0" max="4" min="4" style="0" width="14"/>
    <col collapsed="false" customWidth="true" hidden="false" outlineLevel="0" max="5" min="5" style="0" width="22"/>
    <col collapsed="false" customWidth="true" hidden="false" outlineLevel="0" max="6" min="6" style="0" width="20"/>
    <col collapsed="false" customWidth="true" hidden="false" outlineLevel="0" max="7" min="7" style="0" width="22"/>
    <col collapsed="false" customWidth="true" hidden="false" outlineLevel="0" max="8" min="8" style="0" width="2"/>
  </cols>
  <sheetData>
    <row r="2" customFormat="false" ht="30" hidden="false" customHeight="true" outlineLevel="0" collapsed="false">
      <c r="B2" s="10" t="s">
        <v>82</v>
      </c>
      <c r="C2" s="10"/>
      <c r="D2" s="10"/>
      <c r="E2" s="10"/>
      <c r="F2" s="10"/>
      <c r="G2" s="10"/>
    </row>
    <row r="3" customFormat="false" ht="19.5" hidden="false" customHeight="true" outlineLevel="0" collapsed="false">
      <c r="B3" s="11" t="s">
        <v>83</v>
      </c>
      <c r="C3" s="11"/>
      <c r="D3" s="11"/>
      <c r="E3" s="11"/>
      <c r="F3" s="11"/>
      <c r="G3" s="11"/>
    </row>
    <row r="4" customFormat="false" ht="6" hidden="false" customHeight="true" outlineLevel="0" collapsed="false">
      <c r="B4" s="3"/>
      <c r="C4" s="3"/>
      <c r="D4" s="3"/>
      <c r="E4" s="3"/>
      <c r="F4" s="3"/>
      <c r="G4" s="3"/>
    </row>
    <row r="6" customFormat="false" ht="30" hidden="false" customHeight="true" outlineLevel="0" collapsed="false">
      <c r="B6" s="12" t="s">
        <v>17</v>
      </c>
      <c r="C6" s="12" t="s">
        <v>84</v>
      </c>
      <c r="D6" s="12" t="s">
        <v>85</v>
      </c>
      <c r="E6" s="12" t="s">
        <v>86</v>
      </c>
      <c r="F6" s="12" t="s">
        <v>87</v>
      </c>
      <c r="G6" s="12" t="s">
        <v>88</v>
      </c>
    </row>
    <row r="7" customFormat="false" ht="25.5" hidden="false" customHeight="true" outlineLevel="0" collapsed="false">
      <c r="B7" s="13" t="s">
        <v>26</v>
      </c>
      <c r="C7" s="14" t="s">
        <v>89</v>
      </c>
      <c r="D7" s="14" t="s">
        <v>90</v>
      </c>
      <c r="E7" s="14" t="s">
        <v>91</v>
      </c>
      <c r="F7" s="14" t="s">
        <v>92</v>
      </c>
      <c r="G7" s="13" t="s">
        <v>93</v>
      </c>
    </row>
    <row r="8" customFormat="false" ht="25.5" hidden="false" customHeight="true" outlineLevel="0" collapsed="false">
      <c r="B8" s="13" t="s">
        <v>35</v>
      </c>
      <c r="C8" s="14" t="s">
        <v>31</v>
      </c>
      <c r="D8" s="14" t="s">
        <v>94</v>
      </c>
      <c r="E8" s="14" t="s">
        <v>95</v>
      </c>
      <c r="F8" s="14" t="s">
        <v>96</v>
      </c>
      <c r="G8" s="13" t="s">
        <v>93</v>
      </c>
    </row>
    <row r="9" customFormat="false" ht="25.5" hidden="false" customHeight="true" outlineLevel="0" collapsed="false">
      <c r="B9" s="13" t="s">
        <v>44</v>
      </c>
      <c r="C9" s="14" t="s">
        <v>97</v>
      </c>
      <c r="D9" s="14" t="s">
        <v>98</v>
      </c>
      <c r="E9" s="14" t="s">
        <v>95</v>
      </c>
      <c r="F9" s="14" t="s">
        <v>96</v>
      </c>
      <c r="G9" s="13" t="s">
        <v>99</v>
      </c>
    </row>
    <row r="10" customFormat="false" ht="25.5" hidden="false" customHeight="true" outlineLevel="0" collapsed="false">
      <c r="B10" s="13" t="s">
        <v>53</v>
      </c>
      <c r="C10" s="14" t="s">
        <v>100</v>
      </c>
      <c r="D10" s="14" t="s">
        <v>101</v>
      </c>
      <c r="E10" s="14" t="s">
        <v>102</v>
      </c>
      <c r="F10" s="14" t="s">
        <v>103</v>
      </c>
      <c r="G10" s="13" t="s">
        <v>93</v>
      </c>
    </row>
    <row r="11" customFormat="false" ht="24" hidden="false" customHeight="true" outlineLevel="0" collapsed="false">
      <c r="B11" s="18"/>
      <c r="C11" s="17"/>
      <c r="D11" s="17"/>
      <c r="E11" s="17"/>
      <c r="F11" s="17"/>
      <c r="G11" s="18"/>
    </row>
    <row r="12" customFormat="false" ht="24" hidden="false" customHeight="true" outlineLevel="0" collapsed="false">
      <c r="B12" s="18"/>
      <c r="C12" s="17"/>
      <c r="D12" s="17"/>
      <c r="E12" s="17"/>
      <c r="F12" s="17"/>
      <c r="G12" s="18"/>
    </row>
    <row r="13" customFormat="false" ht="24" hidden="false" customHeight="true" outlineLevel="0" collapsed="false">
      <c r="B13" s="18"/>
      <c r="C13" s="17"/>
      <c r="D13" s="17"/>
      <c r="E13" s="17"/>
      <c r="F13" s="17"/>
      <c r="G13" s="18"/>
    </row>
    <row r="14" customFormat="false" ht="24" hidden="false" customHeight="true" outlineLevel="0" collapsed="false">
      <c r="B14" s="18"/>
      <c r="C14" s="17"/>
      <c r="D14" s="17"/>
      <c r="E14" s="17"/>
      <c r="F14" s="17"/>
      <c r="G14" s="18"/>
    </row>
    <row r="15" customFormat="false" ht="24" hidden="false" customHeight="true" outlineLevel="0" collapsed="false">
      <c r="B15" s="18"/>
      <c r="C15" s="17"/>
      <c r="D15" s="17"/>
      <c r="E15" s="17"/>
      <c r="F15" s="17"/>
      <c r="G15" s="18"/>
    </row>
    <row r="16" customFormat="false" ht="24" hidden="false" customHeight="true" outlineLevel="0" collapsed="false">
      <c r="B16" s="18"/>
      <c r="C16" s="17"/>
      <c r="D16" s="17"/>
      <c r="E16" s="17"/>
      <c r="F16" s="17"/>
      <c r="G16" s="18"/>
    </row>
    <row r="17" customFormat="false" ht="24" hidden="false" customHeight="true" outlineLevel="0" collapsed="false">
      <c r="B17" s="18"/>
      <c r="C17" s="17"/>
      <c r="D17" s="17"/>
      <c r="E17" s="17"/>
      <c r="F17" s="17"/>
      <c r="G17" s="18"/>
    </row>
    <row r="18" customFormat="false" ht="24" hidden="false" customHeight="true" outlineLevel="0" collapsed="false">
      <c r="B18" s="18"/>
      <c r="C18" s="17"/>
      <c r="D18" s="17"/>
      <c r="E18" s="17"/>
      <c r="F18" s="17"/>
      <c r="G18" s="18"/>
    </row>
    <row r="19" customFormat="false" ht="24" hidden="false" customHeight="true" outlineLevel="0" collapsed="false">
      <c r="B19" s="18"/>
      <c r="C19" s="17"/>
      <c r="D19" s="17"/>
      <c r="E19" s="17"/>
      <c r="F19" s="17"/>
      <c r="G19" s="18"/>
    </row>
    <row r="20" customFormat="false" ht="24" hidden="false" customHeight="true" outlineLevel="0" collapsed="false">
      <c r="B20" s="18"/>
      <c r="C20" s="17"/>
      <c r="D20" s="17"/>
      <c r="E20" s="17"/>
      <c r="F20" s="17"/>
      <c r="G20" s="18"/>
    </row>
  </sheetData>
  <mergeCells count="2">
    <mergeCell ref="B2:G2"/>
    <mergeCell ref="B3:G3"/>
  </mergeCells>
  <dataValidations count="1">
    <dataValidation allowBlank="true" errorStyle="stop" operator="between" showDropDown="false" showErrorMessage="false" showInputMessage="false" sqref="G11:G20" type="list">
      <formula1>"✓ Oui,⏳ En cours,❌ Non"</formula1>
      <formula2>0</formula2>
    </dataValidation>
  </dataValidations>
  <printOptions headings="false" gridLines="false" gridLinesSet="true" horizontalCentered="true" verticalCentered="false"/>
  <pageMargins left="0.4" right="0.4" top="0.6" bottom="0.6"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&amp;C&amp;9 &amp;K888780M37 — Registre des mobilités CFA  ·  &amp;A  ·  Page &amp;P /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3" min="3" style="0" width="18"/>
    <col collapsed="false" customWidth="true" hidden="false" outlineLevel="0" max="4" min="4" style="0" width="2"/>
  </cols>
  <sheetData>
    <row r="2" customFormat="false" ht="30" hidden="false" customHeight="true" outlineLevel="0" collapsed="false">
      <c r="B2" s="10" t="s">
        <v>104</v>
      </c>
      <c r="C2" s="10"/>
    </row>
    <row r="3" customFormat="false" ht="19.5" hidden="false" customHeight="true" outlineLevel="0" collapsed="false">
      <c r="B3" s="11" t="s">
        <v>105</v>
      </c>
      <c r="C3" s="11"/>
    </row>
    <row r="4" customFormat="false" ht="6" hidden="false" customHeight="true" outlineLevel="0" collapsed="false">
      <c r="B4" s="3"/>
      <c r="C4" s="3"/>
    </row>
    <row r="6" customFormat="false" ht="30" hidden="false" customHeight="true" outlineLevel="0" collapsed="false">
      <c r="B6" s="19" t="s">
        <v>106</v>
      </c>
      <c r="C6" s="19" t="s">
        <v>107</v>
      </c>
    </row>
    <row r="7" customFormat="false" ht="31.5" hidden="false" customHeight="true" outlineLevel="0" collapsed="false">
      <c r="B7" s="20" t="s">
        <v>108</v>
      </c>
      <c r="C7" s="21" t="n">
        <f aca="false">COUNTA('📋 Registre mobilités'!C7:C30)</f>
        <v>4</v>
      </c>
    </row>
    <row r="8" customFormat="false" ht="31.5" hidden="false" customHeight="true" outlineLevel="0" collapsed="false">
      <c r="B8" s="20" t="s">
        <v>109</v>
      </c>
      <c r="C8" s="21" t="n">
        <f aca="false">COUNTIF('📋 Registre mobilités'!J7:J30,"Partie")+COUNTIF('📋 Registre mobilités'!J7:J30,"Revenue")</f>
        <v>2</v>
      </c>
    </row>
    <row r="9" customFormat="false" ht="31.5" hidden="false" customHeight="true" outlineLevel="0" collapsed="false">
      <c r="B9" s="20" t="s">
        <v>110</v>
      </c>
      <c r="C9" s="21" t="n">
        <f aca="false">COUNTIF('📋 Registre mobilités'!J7:J30,"Annulée")</f>
        <v>0</v>
      </c>
    </row>
    <row r="10" customFormat="false" ht="31.5" hidden="false" customHeight="true" outlineLevel="0" collapsed="false">
      <c r="B10" s="20" t="s">
        <v>111</v>
      </c>
      <c r="C10" s="21" t="n">
        <f aca="false">COUNTA('📚 Ateliers info'!C7:C30)-1</f>
        <v>1</v>
      </c>
    </row>
    <row r="11" customFormat="false" ht="31.5" hidden="false" customHeight="true" outlineLevel="0" collapsed="false">
      <c r="B11" s="20" t="s">
        <v>112</v>
      </c>
      <c r="C11" s="21" t="n">
        <f aca="false">COUNTIF('🌍 Partenaires'!G7:G30,"✓ Oui")</f>
        <v>3</v>
      </c>
    </row>
    <row r="13" customFormat="false" ht="24" hidden="false" customHeight="true" outlineLevel="0" collapsed="false">
      <c r="B13" s="22" t="s">
        <v>113</v>
      </c>
      <c r="C13" s="22"/>
    </row>
    <row r="14" customFormat="false" ht="49.5" hidden="false" customHeight="true" outlineLevel="0" collapsed="false">
      <c r="B14" s="20" t="s">
        <v>114</v>
      </c>
      <c r="C14" s="23" t="s">
        <v>115</v>
      </c>
    </row>
    <row r="15" customFormat="false" ht="49.5" hidden="false" customHeight="true" outlineLevel="0" collapsed="false">
      <c r="B15" s="20" t="s">
        <v>116</v>
      </c>
      <c r="C15" s="23" t="s">
        <v>117</v>
      </c>
    </row>
    <row r="16" customFormat="false" ht="49.5" hidden="false" customHeight="true" outlineLevel="0" collapsed="false">
      <c r="B16" s="20" t="s">
        <v>118</v>
      </c>
      <c r="C16" s="23" t="s">
        <v>119</v>
      </c>
    </row>
    <row r="17" customFormat="false" ht="49.5" hidden="false" customHeight="true" outlineLevel="0" collapsed="false">
      <c r="B17" s="20" t="s">
        <v>120</v>
      </c>
      <c r="C17" s="23" t="s">
        <v>121</v>
      </c>
    </row>
  </sheetData>
  <mergeCells count="3">
    <mergeCell ref="B2:C2"/>
    <mergeCell ref="B3:C3"/>
    <mergeCell ref="B13:C13"/>
  </mergeCells>
  <printOptions headings="false" gridLines="false" gridLinesSet="true" horizontalCentered="true" verticalCentered="false"/>
  <pageMargins left="0.4" right="0.4" top="0.6" bottom="0.6" header="0.511811023622047" footer="0.3"/>
  <pageSetup paperSize="9" scale="100" fitToWidth="1" fitToHeight="0" pageOrder="downThenOver" orientation="portrait" blackAndWhite="false" draft="false" cellComments="none" horizontalDpi="300" verticalDpi="300" copies="1"/>
  <headerFooter differentFirst="false" differentOddEven="false">
    <oddHeader/>
    <oddFooter>&amp;C&amp;9 &amp;K888780M37 — Registre des mobilités CFA  ·  &amp;A  ·  Page &amp;P /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2026-05-14T18:05:45Z</dcterms:created>
  <dc:creator>openpyxl</dc:creator>
  <dc:description/>
  <dc:language>en-US</dc:language>
  <cp:lastModifiedBy/>
  <dcterms:modified xsi:type="dcterms:W3CDTF">2026-05-14T18:05:45Z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