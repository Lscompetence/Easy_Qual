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📅 PDC prévisionnel" sheetId="2" state="visible" r:id="rId4"/>
    <sheet name="✅ PDC réalisé" sheetId="3" state="visible" r:id="rId5"/>
    <sheet name="👤 Entretiens profess." sheetId="4" state="visible" r:id="rId6"/>
    <sheet name="📊 Bilan annu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<sst xmlns="http://schemas.openxmlformats.org/spreadsheetml/2006/main" count="154" uniqueCount="110">
  <si>
    <t xml:space="preserve">PDC + REGISTRE ENTRETIENS</t>
  </si>
  <si>
    <t xml:space="preserve">Modèle M42 — Plan de Développement des Compétences + entretiens professionnels — Ind. 22</t>
  </si>
  <si>
    <t xml:space="preserve">À QUOI SERT CE DOCUMENT</t>
  </si>
  <si>
    <t xml:space="preserve">Outil de pilotage de la formation continue de l'équipe : prévisionnel annuel (PDC), suivi des réalisations (attestations collectées), et registre des entretiens professionnels obligatoires (Code du travail : 2 entretiens / 6 ans pour les salariés). Pièce de preuve principale de l'Ind. 22 — sans PDC formalisé, NC mineure quasi automatique.</t>
  </si>
  <si>
    <t xml:space="preserve">STRUCTURE DU CLASSEUR</t>
  </si>
  <si>
    <t xml:space="preserve">📅 PDC prévisionnel</t>
  </si>
  <si>
    <t xml:space="preserve">Plan annuel : actions prévues, budget, échéances, financements mobilisés.</t>
  </si>
  <si>
    <t xml:space="preserve">✅ PDC réalisé</t>
  </si>
  <si>
    <t xml:space="preserve">Suivi des actions effectivement menées : attestations, dates, coûts réels.</t>
  </si>
  <si>
    <t xml:space="preserve">👤 Entretiens professionnels</t>
  </si>
  <si>
    <t xml:space="preserve">Registre des entretiens (obligation 2 / 6 ans pour les salariés).</t>
  </si>
  <si>
    <t xml:space="preserve">📊 Bilan annuel</t>
  </si>
  <si>
    <t xml:space="preserve">Synthèse : volume formation par intervenant, taux de réalisation PDC, indicateurs.</t>
  </si>
  <si>
    <t xml:space="preserve">💡 Ind. 22</t>
  </si>
  <si>
    <t xml:space="preserve">Pièges fréquents (PDF officiel) : (1) PDC absent ou non tenu à jour, (2) attestations non collectées, (3) veille faite mais non exploitée, (4) sous-traitants oubliés du PDC, (5) entretiens professionnels absents (obligation légale = NC sociale ET Qualiopi). Cible recommandée : ≥ 14h de formation continue / an / intervenant.</t>
  </si>
  <si>
    <t xml:space="preserve">📅 PLAN DE DÉVELOPPEMENT DES COMPÉTENCES — PRÉVISIONNEL</t>
  </si>
  <si>
    <t xml:space="preserve">Année [ AAAA ] — Validé le [ JJ/MM/AAAA ] par [ Direction ]</t>
  </si>
  <si>
    <t xml:space="preserve">N°</t>
  </si>
  <si>
    <t xml:space="preserve">Intervenant</t>
  </si>
  <si>
    <t xml:space="preserve">Action prévue (intitulé)</t>
  </si>
  <si>
    <t xml:space="preserve">Domaine</t>
  </si>
  <si>
    <t xml:space="preserve">Volume (h)</t>
  </si>
  <si>
    <t xml:space="preserve">Trimestre</t>
  </si>
  <si>
    <t xml:space="preserve">Coût prév. (€)</t>
  </si>
  <si>
    <t xml:space="preserve">Financement</t>
  </si>
  <si>
    <t xml:space="preserve">01</t>
  </si>
  <si>
    <t xml:space="preserve">DUBOIS Claire</t>
  </si>
  <si>
    <t xml:space="preserve">Animation grand groupe — méthodes actives</t>
  </si>
  <si>
    <t xml:space="preserve">Pédagogie</t>
  </si>
  <si>
    <t xml:space="preserve">14</t>
  </si>
  <si>
    <t xml:space="preserve">T1</t>
  </si>
  <si>
    <t xml:space="preserve">850</t>
  </si>
  <si>
    <t xml:space="preserve">OPCO</t>
  </si>
  <si>
    <t xml:space="preserve">02</t>
  </si>
  <si>
    <t xml:space="preserve">MARTIN Olivier</t>
  </si>
  <si>
    <t xml:space="preserve">MOOC Neurosciences et apprentissage</t>
  </si>
  <si>
    <t xml:space="preserve">20</t>
  </si>
  <si>
    <t xml:space="preserve">T2</t>
  </si>
  <si>
    <t xml:space="preserve">0</t>
  </si>
  <si>
    <t xml:space="preserve">Personnel</t>
  </si>
  <si>
    <t xml:space="preserve">03</t>
  </si>
  <si>
    <t xml:space="preserve">BERNARD Sophie</t>
  </si>
  <si>
    <t xml:space="preserve">Recyclage déontologie BC + outils 2026</t>
  </si>
  <si>
    <t xml:space="preserve">Déontologie BC</t>
  </si>
  <si>
    <t xml:space="preserve">650</t>
  </si>
  <si>
    <t xml:space="preserve">Fonds propres</t>
  </si>
  <si>
    <t xml:space="preserve">04</t>
  </si>
  <si>
    <t xml:space="preserve">Toute équipe</t>
  </si>
  <si>
    <t xml:space="preserve">Sensibilisation handicap dans la formation</t>
  </si>
  <si>
    <t xml:space="preserve">Handicap</t>
  </si>
  <si>
    <t xml:space="preserve">7</t>
  </si>
  <si>
    <t xml:space="preserve">490</t>
  </si>
  <si>
    <t xml:space="preserve">05</t>
  </si>
  <si>
    <t xml:space="preserve">LEROY Marc</t>
  </si>
  <si>
    <t xml:space="preserve">Veille RNCP — réforme certifications 2026</t>
  </si>
  <si>
    <t xml:space="preserve">Veille</t>
  </si>
  <si>
    <t xml:space="preserve">T3</t>
  </si>
  <si>
    <t xml:space="preserve">✅ PLAN DE DÉVELOPPEMENT DES COMPÉTENCES — RÉALISÉ</t>
  </si>
  <si>
    <t xml:space="preserve">Suivi des actions effectivement menées + attestations collectées</t>
  </si>
  <si>
    <t xml:space="preserve">Action menée</t>
  </si>
  <si>
    <t xml:space="preserve">Date</t>
  </si>
  <si>
    <t xml:space="preserve">Coût réel (€)</t>
  </si>
  <si>
    <t xml:space="preserve">Attestation</t>
  </si>
  <si>
    <t xml:space="preserve">15/03/26</t>
  </si>
  <si>
    <t xml:space="preserve">✓ Reçue</t>
  </si>
  <si>
    <t xml:space="preserve">10/05/26</t>
  </si>
  <si>
    <t xml:space="preserve">20/02/26</t>
  </si>
  <si>
    <t xml:space="preserve">👤 REGISTRE DES ENTRETIENS PROFESSIONNELS</t>
  </si>
  <si>
    <t xml:space="preserve">Obligation légale (Code du travail) : 2 entretiens / 6 ans minimum pour les salariés</t>
  </si>
  <si>
    <t xml:space="preserve">Salarié</t>
  </si>
  <si>
    <t xml:space="preserve">Date entretien</t>
  </si>
  <si>
    <t xml:space="preserve">Type</t>
  </si>
  <si>
    <t xml:space="preserve">Thèmes abordés / décisions</t>
  </si>
  <si>
    <t xml:space="preserve">Animé par</t>
  </si>
  <si>
    <t xml:space="preserve">CR signé</t>
  </si>
  <si>
    <t xml:space="preserve">15/01/26</t>
  </si>
  <si>
    <t xml:space="preserve">Annuel (24 mois)</t>
  </si>
  <si>
    <t xml:space="preserve">Bilan 2025, projet professionnel, formation envisagée FOAD</t>
  </si>
  <si>
    <t xml:space="preserve">Direction</t>
  </si>
  <si>
    <t xml:space="preserve">✓ Signé</t>
  </si>
  <si>
    <t xml:space="preserve">22/01/26</t>
  </si>
  <si>
    <t xml:space="preserve">Évolution vers fonction tutorale, besoins formation</t>
  </si>
  <si>
    <t xml:space="preserve">20/01/24</t>
  </si>
  <si>
    <t xml:space="preserve">Bilan 6 ans</t>
  </si>
  <si>
    <t xml:space="preserve">Bilan complet 6 ans — formations suivies, évolution, perspectives</t>
  </si>
  <si>
    <t xml:space="preserve">📊 BILAN ANNUEL FORMATION CONTINUE</t>
  </si>
  <si>
    <t xml:space="preserve">Indicateurs Ind. 22 — pour pilotage interne + audit Qualiopi</t>
  </si>
  <si>
    <t xml:space="preserve">INDICATEUR</t>
  </si>
  <si>
    <t xml:space="preserve">Valeur</t>
  </si>
  <si>
    <t xml:space="preserve">Nombre d'actions prévues (PDC)</t>
  </si>
  <si>
    <t xml:space="preserve">Nombre d'actions réalisées</t>
  </si>
  <si>
    <t xml:space="preserve">Volume total d'heures réalisées</t>
  </si>
  <si>
    <t xml:space="preserve">Budget total prévu (€)</t>
  </si>
  <si>
    <t xml:space="preserve">Coût total réel (€)</t>
  </si>
  <si>
    <t xml:space="preserve">Attestations collectées</t>
  </si>
  <si>
    <t xml:space="preserve">Attestations manquantes (à relancer)</t>
  </si>
  <si>
    <t xml:space="preserve">Taux de réalisation PDC</t>
  </si>
  <si>
    <t xml:space="preserve">Entretiens professionnels tenus dans l'année</t>
  </si>
  <si>
    <t xml:space="preserve">Entretiens avec CR signés</t>
  </si>
  <si>
    <t xml:space="preserve">ANALYSE QUALITATIVE &amp; PLAN N+1</t>
  </si>
  <si>
    <t xml:space="preserve">Points forts de l'année</t>
  </si>
  <si>
    <t xml:space="preserve">[ Ex. PDC réalisé à 95%, équipe formée aux nouveaux outils LMS ]</t>
  </si>
  <si>
    <t xml:space="preserve">Difficultés / écarts au PDC</t>
  </si>
  <si>
    <t xml:space="preserve">[ Ex. 2 actions reportées en N+1 — agenda chargé ]</t>
  </si>
  <si>
    <t xml:space="preserve">Veille exploitée — impact sur prestations</t>
  </si>
  <si>
    <t xml:space="preserve">[ Ex. Intégration neurosciences en modules animation ; refonte M5 sur sujet X ]</t>
  </si>
  <si>
    <t xml:space="preserve">Actions correctives N+1</t>
  </si>
  <si>
    <t xml:space="preserve">[ Ex. Budget doublé sur pédagogie ; PDC sous-traitants à formaliser ]</t>
  </si>
  <si>
    <t xml:space="preserve">Objectifs chiffrés N+1</t>
  </si>
  <si>
    <t xml:space="preserve">[ Ex. ≥ 14h / intervenant ; 100% attestations collectées ; 100% entretiens à échéance 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</si>
</sst>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#,##0&quot; €&quot;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2"/>
      <color rgb="FF0F2A47"/>
      <name val="Arial"/>
      <family val="0"/>
      <charset val="1"/>
    </font>
    <font>
      <b val="true"/>
      <sz val="11"/>
      <color rgb="FFD85A30"/>
      <name val="Arial"/>
      <family val="0"/>
      <charset val="1"/>
    </font>
    <font>
      <i val="true"/>
      <sz val="10"/>
      <color rgb="FF8887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F5C7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BF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D8EBC2"/>
      <rgbColor rgb="FFF7DCB8"/>
      <rgbColor rgb="FF99CCFF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6" hidden="false" customHeight="true" outlineLevel="0" collapsed="false">
      <c r="B10" s="6" t="s">
        <v>5</v>
      </c>
      <c r="C10" s="7" t="s">
        <v>6</v>
      </c>
    </row>
    <row r="11" customFormat="false" ht="36" hidden="false" customHeight="true" outlineLevel="0" collapsed="false">
      <c r="B11" s="6" t="s">
        <v>7</v>
      </c>
      <c r="C11" s="7" t="s">
        <v>8</v>
      </c>
    </row>
    <row r="12" customFormat="false" ht="36" hidden="false" customHeight="true" outlineLevel="0" collapsed="false">
      <c r="B12" s="6" t="s">
        <v>9</v>
      </c>
      <c r="C12" s="7" t="s">
        <v>10</v>
      </c>
    </row>
    <row r="13" customFormat="false" ht="36" hidden="false" customHeight="true" outlineLevel="0" collapsed="false">
      <c r="B13" s="6" t="s">
        <v>11</v>
      </c>
      <c r="C13" s="7" t="s">
        <v>12</v>
      </c>
    </row>
    <row r="15" customFormat="false" ht="63.75" hidden="false" customHeight="true" outlineLevel="0" collapsed="false">
      <c r="B15" s="8" t="s">
        <v>13</v>
      </c>
      <c r="C15" s="9" t="s">
        <v>14</v>
      </c>
    </row>
  </sheetData>
  <mergeCells count="4">
    <mergeCell ref="B2:C2"/>
    <mergeCell ref="B3:C3"/>
    <mergeCell ref="B6:C6"/>
    <mergeCell ref="B9:C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&amp;K888780M42 — PDC + Entretiens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9" min="5" style="0" width="14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0" t="s">
        <v>15</v>
      </c>
      <c r="C2" s="10"/>
      <c r="D2" s="10"/>
      <c r="E2" s="10"/>
      <c r="F2" s="10"/>
      <c r="G2" s="10"/>
      <c r="H2" s="10"/>
      <c r="I2" s="10"/>
    </row>
    <row r="3" customFormat="false" ht="19.5" hidden="false" customHeight="true" outlineLevel="0" collapsed="false">
      <c r="B3" s="11" t="s">
        <v>16</v>
      </c>
      <c r="C3" s="11"/>
      <c r="D3" s="11"/>
      <c r="E3" s="11"/>
      <c r="F3" s="11"/>
      <c r="G3" s="11"/>
      <c r="H3" s="11"/>
      <c r="I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30" hidden="false" customHeight="true" outlineLevel="0" collapsed="false">
      <c r="B6" s="12" t="s">
        <v>17</v>
      </c>
      <c r="C6" s="12" t="s">
        <v>18</v>
      </c>
      <c r="D6" s="12" t="s">
        <v>19</v>
      </c>
      <c r="E6" s="12" t="s">
        <v>20</v>
      </c>
      <c r="F6" s="12" t="s">
        <v>21</v>
      </c>
      <c r="G6" s="12" t="s">
        <v>22</v>
      </c>
      <c r="H6" s="12" t="s">
        <v>23</v>
      </c>
      <c r="I6" s="12" t="s">
        <v>24</v>
      </c>
    </row>
    <row r="7" customFormat="false" ht="25.5" hidden="false" customHeight="true" outlineLevel="0" collapsed="false">
      <c r="B7" s="13" t="s">
        <v>25</v>
      </c>
      <c r="C7" s="14" t="s">
        <v>26</v>
      </c>
      <c r="D7" s="14" t="s">
        <v>27</v>
      </c>
      <c r="E7" s="14" t="s">
        <v>28</v>
      </c>
      <c r="F7" s="13" t="s">
        <v>29</v>
      </c>
      <c r="G7" s="13" t="s">
        <v>30</v>
      </c>
      <c r="H7" s="13" t="s">
        <v>31</v>
      </c>
      <c r="I7" s="13" t="s">
        <v>32</v>
      </c>
    </row>
    <row r="8" customFormat="false" ht="25.5" hidden="false" customHeight="true" outlineLevel="0" collapsed="false">
      <c r="B8" s="13" t="s">
        <v>33</v>
      </c>
      <c r="C8" s="14" t="s">
        <v>34</v>
      </c>
      <c r="D8" s="14" t="s">
        <v>35</v>
      </c>
      <c r="E8" s="14" t="s">
        <v>28</v>
      </c>
      <c r="F8" s="13" t="s">
        <v>36</v>
      </c>
      <c r="G8" s="13" t="s">
        <v>37</v>
      </c>
      <c r="H8" s="13" t="s">
        <v>38</v>
      </c>
      <c r="I8" s="13" t="s">
        <v>39</v>
      </c>
    </row>
    <row r="9" customFormat="false" ht="25.5" hidden="false" customHeight="true" outlineLevel="0" collapsed="false">
      <c r="B9" s="13" t="s">
        <v>40</v>
      </c>
      <c r="C9" s="14" t="s">
        <v>41</v>
      </c>
      <c r="D9" s="14" t="s">
        <v>42</v>
      </c>
      <c r="E9" s="14" t="s">
        <v>43</v>
      </c>
      <c r="F9" s="13" t="s">
        <v>29</v>
      </c>
      <c r="G9" s="13" t="s">
        <v>30</v>
      </c>
      <c r="H9" s="13" t="s">
        <v>44</v>
      </c>
      <c r="I9" s="13" t="s">
        <v>45</v>
      </c>
    </row>
    <row r="10" customFormat="false" ht="25.5" hidden="false" customHeight="true" outlineLevel="0" collapsed="false">
      <c r="B10" s="13" t="s">
        <v>46</v>
      </c>
      <c r="C10" s="14" t="s">
        <v>47</v>
      </c>
      <c r="D10" s="14" t="s">
        <v>48</v>
      </c>
      <c r="E10" s="14" t="s">
        <v>49</v>
      </c>
      <c r="F10" s="13" t="s">
        <v>50</v>
      </c>
      <c r="G10" s="13" t="s">
        <v>37</v>
      </c>
      <c r="H10" s="13" t="s">
        <v>51</v>
      </c>
      <c r="I10" s="13" t="s">
        <v>32</v>
      </c>
    </row>
    <row r="11" customFormat="false" ht="25.5" hidden="false" customHeight="true" outlineLevel="0" collapsed="false">
      <c r="B11" s="13" t="s">
        <v>52</v>
      </c>
      <c r="C11" s="14" t="s">
        <v>53</v>
      </c>
      <c r="D11" s="14" t="s">
        <v>54</v>
      </c>
      <c r="E11" s="14" t="s">
        <v>55</v>
      </c>
      <c r="F11" s="13" t="s">
        <v>50</v>
      </c>
      <c r="G11" s="13" t="s">
        <v>56</v>
      </c>
      <c r="H11" s="13" t="s">
        <v>38</v>
      </c>
      <c r="I11" s="13" t="s">
        <v>39</v>
      </c>
    </row>
    <row r="12" customFormat="false" ht="24" hidden="false" customHeight="true" outlineLevel="0" collapsed="false">
      <c r="B12" s="15"/>
      <c r="C12" s="16"/>
      <c r="D12" s="16"/>
      <c r="E12" s="16"/>
      <c r="F12" s="15"/>
      <c r="G12" s="15"/>
      <c r="H12" s="15"/>
      <c r="I12" s="15"/>
    </row>
    <row r="13" customFormat="false" ht="24" hidden="false" customHeight="true" outlineLevel="0" collapsed="false">
      <c r="B13" s="15"/>
      <c r="C13" s="16"/>
      <c r="D13" s="16"/>
      <c r="E13" s="16"/>
      <c r="F13" s="15"/>
      <c r="G13" s="15"/>
      <c r="H13" s="15"/>
      <c r="I13" s="15"/>
    </row>
    <row r="14" customFormat="false" ht="24" hidden="false" customHeight="true" outlineLevel="0" collapsed="false">
      <c r="B14" s="15"/>
      <c r="C14" s="16"/>
      <c r="D14" s="16"/>
      <c r="E14" s="16"/>
      <c r="F14" s="15"/>
      <c r="G14" s="15"/>
      <c r="H14" s="15"/>
      <c r="I14" s="15"/>
    </row>
    <row r="15" customFormat="false" ht="24" hidden="false" customHeight="true" outlineLevel="0" collapsed="false">
      <c r="B15" s="15"/>
      <c r="C15" s="16"/>
      <c r="D15" s="16"/>
      <c r="E15" s="16"/>
      <c r="F15" s="15"/>
      <c r="G15" s="15"/>
      <c r="H15" s="15"/>
      <c r="I15" s="15"/>
    </row>
    <row r="16" customFormat="false" ht="24" hidden="false" customHeight="true" outlineLevel="0" collapsed="false">
      <c r="B16" s="15"/>
      <c r="C16" s="16"/>
      <c r="D16" s="16"/>
      <c r="E16" s="16"/>
      <c r="F16" s="15"/>
      <c r="G16" s="15"/>
      <c r="H16" s="15"/>
      <c r="I16" s="15"/>
    </row>
    <row r="17" customFormat="false" ht="24" hidden="false" customHeight="true" outlineLevel="0" collapsed="false">
      <c r="B17" s="15"/>
      <c r="C17" s="16"/>
      <c r="D17" s="16"/>
      <c r="E17" s="16"/>
      <c r="F17" s="15"/>
      <c r="G17" s="15"/>
      <c r="H17" s="15"/>
      <c r="I17" s="15"/>
    </row>
    <row r="18" customFormat="false" ht="24" hidden="false" customHeight="true" outlineLevel="0" collapsed="false">
      <c r="B18" s="15"/>
      <c r="C18" s="16"/>
      <c r="D18" s="16"/>
      <c r="E18" s="16"/>
      <c r="F18" s="15"/>
      <c r="G18" s="15"/>
      <c r="H18" s="15"/>
      <c r="I18" s="15"/>
    </row>
    <row r="19" customFormat="false" ht="24" hidden="false" customHeight="true" outlineLevel="0" collapsed="false">
      <c r="B19" s="15"/>
      <c r="C19" s="16"/>
      <c r="D19" s="16"/>
      <c r="E19" s="16"/>
      <c r="F19" s="15"/>
      <c r="G19" s="15"/>
      <c r="H19" s="15"/>
      <c r="I19" s="15"/>
    </row>
    <row r="20" customFormat="false" ht="24" hidden="false" customHeight="true" outlineLevel="0" collapsed="false">
      <c r="B20" s="15"/>
      <c r="C20" s="16"/>
      <c r="D20" s="16"/>
      <c r="E20" s="16"/>
      <c r="F20" s="15"/>
      <c r="G20" s="15"/>
      <c r="H20" s="15"/>
      <c r="I20" s="15"/>
    </row>
    <row r="21" customFormat="false" ht="24" hidden="false" customHeight="true" outlineLevel="0" collapsed="false">
      <c r="B21" s="15"/>
      <c r="C21" s="16"/>
      <c r="D21" s="16"/>
      <c r="E21" s="16"/>
      <c r="F21" s="15"/>
      <c r="G21" s="15"/>
      <c r="H21" s="15"/>
      <c r="I21" s="15"/>
    </row>
    <row r="22" customFormat="false" ht="24" hidden="false" customHeight="true" outlineLevel="0" collapsed="false">
      <c r="B22" s="15"/>
      <c r="C22" s="16"/>
      <c r="D22" s="16"/>
      <c r="E22" s="16"/>
      <c r="F22" s="15"/>
      <c r="G22" s="15"/>
      <c r="H22" s="15"/>
      <c r="I22" s="15"/>
    </row>
    <row r="23" customFormat="false" ht="24" hidden="false" customHeight="true" outlineLevel="0" collapsed="false">
      <c r="B23" s="15"/>
      <c r="C23" s="16"/>
      <c r="D23" s="16"/>
      <c r="E23" s="16"/>
      <c r="F23" s="15"/>
      <c r="G23" s="15"/>
      <c r="H23" s="15"/>
      <c r="I23" s="15"/>
    </row>
    <row r="24" customFormat="false" ht="24" hidden="false" customHeight="true" outlineLevel="0" collapsed="false">
      <c r="B24" s="15"/>
      <c r="C24" s="16"/>
      <c r="D24" s="16"/>
      <c r="E24" s="16"/>
      <c r="F24" s="15"/>
      <c r="G24" s="15"/>
      <c r="H24" s="15"/>
      <c r="I24" s="15"/>
    </row>
    <row r="25" customFormat="false" ht="24" hidden="false" customHeight="true" outlineLevel="0" collapsed="false">
      <c r="B25" s="15"/>
      <c r="C25" s="16"/>
      <c r="D25" s="16"/>
      <c r="E25" s="16"/>
      <c r="F25" s="15"/>
      <c r="G25" s="15"/>
      <c r="H25" s="15"/>
      <c r="I25" s="15"/>
    </row>
    <row r="26" customFormat="false" ht="24" hidden="false" customHeight="true" outlineLevel="0" collapsed="false">
      <c r="B26" s="15"/>
      <c r="C26" s="16"/>
      <c r="D26" s="16"/>
      <c r="E26" s="16"/>
      <c r="F26" s="15"/>
      <c r="G26" s="15"/>
      <c r="H26" s="15"/>
      <c r="I26" s="15"/>
    </row>
  </sheetData>
  <mergeCells count="2">
    <mergeCell ref="B2:I2"/>
    <mergeCell ref="B3:I3"/>
  </mergeCells>
  <dataValidations count="3">
    <dataValidation allowBlank="true" errorStyle="stop" operator="between" showDropDown="false" showErrorMessage="false" showInputMessage="false" sqref="E12:E26" type="list">
      <formula1>"Métier,Pédagogie,Numérique/LMS,Handicap,Déontologie BC,VAE,Apprentissage CFA,Veille"</formula1>
      <formula2>0</formula2>
    </dataValidation>
    <dataValidation allowBlank="true" errorStyle="stop" operator="between" showDropDown="false" showErrorMessage="false" showInputMessage="false" sqref="G12:G26" type="list">
      <formula1>"T1,T2,T3,T4"</formula1>
      <formula2>0</formula2>
    </dataValidation>
    <dataValidation allowBlank="true" errorStyle="stop" operator="between" showDropDown="false" showErrorMessage="false" showInputMessage="false" sqref="I12:I26" type="list">
      <formula1>"OPCO,Fonds propres,FNE,Personnel,Autre"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&amp;K888780M42 — PDC + Entretiens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"/>
  </cols>
  <sheetData>
    <row r="2" customFormat="false" ht="30" hidden="false" customHeight="true" outlineLevel="0" collapsed="false">
      <c r="B2" s="10" t="s">
        <v>57</v>
      </c>
      <c r="C2" s="10"/>
      <c r="D2" s="10"/>
      <c r="E2" s="10"/>
      <c r="F2" s="10"/>
      <c r="G2" s="10"/>
      <c r="H2" s="10"/>
      <c r="I2" s="10"/>
    </row>
    <row r="3" customFormat="false" ht="19.5" hidden="false" customHeight="true" outlineLevel="0" collapsed="false">
      <c r="B3" s="11" t="s">
        <v>58</v>
      </c>
      <c r="C3" s="11"/>
      <c r="D3" s="11"/>
      <c r="E3" s="11"/>
      <c r="F3" s="11"/>
      <c r="G3" s="11"/>
      <c r="H3" s="11"/>
      <c r="I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  <c r="I4" s="3"/>
    </row>
    <row r="6" customFormat="false" ht="30" hidden="false" customHeight="true" outlineLevel="0" collapsed="false">
      <c r="B6" s="12" t="s">
        <v>17</v>
      </c>
      <c r="C6" s="12" t="s">
        <v>18</v>
      </c>
      <c r="D6" s="12" t="s">
        <v>59</v>
      </c>
      <c r="E6" s="12" t="s">
        <v>20</v>
      </c>
      <c r="F6" s="12" t="s">
        <v>21</v>
      </c>
      <c r="G6" s="12" t="s">
        <v>60</v>
      </c>
      <c r="H6" s="12" t="s">
        <v>61</v>
      </c>
      <c r="I6" s="12" t="s">
        <v>62</v>
      </c>
    </row>
    <row r="7" customFormat="false" ht="25.5" hidden="false" customHeight="true" outlineLevel="0" collapsed="false">
      <c r="B7" s="13" t="s">
        <v>25</v>
      </c>
      <c r="C7" s="14" t="s">
        <v>26</v>
      </c>
      <c r="D7" s="14" t="s">
        <v>27</v>
      </c>
      <c r="E7" s="14" t="s">
        <v>28</v>
      </c>
      <c r="F7" s="13" t="s">
        <v>29</v>
      </c>
      <c r="G7" s="13" t="s">
        <v>63</v>
      </c>
      <c r="H7" s="13" t="s">
        <v>31</v>
      </c>
      <c r="I7" s="13" t="s">
        <v>64</v>
      </c>
    </row>
    <row r="8" customFormat="false" ht="25.5" hidden="false" customHeight="true" outlineLevel="0" collapsed="false">
      <c r="B8" s="13" t="s">
        <v>33</v>
      </c>
      <c r="C8" s="14" t="s">
        <v>34</v>
      </c>
      <c r="D8" s="14" t="s">
        <v>35</v>
      </c>
      <c r="E8" s="14" t="s">
        <v>28</v>
      </c>
      <c r="F8" s="13" t="s">
        <v>36</v>
      </c>
      <c r="G8" s="13" t="s">
        <v>65</v>
      </c>
      <c r="H8" s="13" t="s">
        <v>38</v>
      </c>
      <c r="I8" s="13" t="s">
        <v>64</v>
      </c>
    </row>
    <row r="9" customFormat="false" ht="25.5" hidden="false" customHeight="true" outlineLevel="0" collapsed="false">
      <c r="B9" s="13" t="s">
        <v>40</v>
      </c>
      <c r="C9" s="14" t="s">
        <v>41</v>
      </c>
      <c r="D9" s="14" t="s">
        <v>42</v>
      </c>
      <c r="E9" s="14" t="s">
        <v>43</v>
      </c>
      <c r="F9" s="13" t="s">
        <v>29</v>
      </c>
      <c r="G9" s="13" t="s">
        <v>66</v>
      </c>
      <c r="H9" s="13" t="s">
        <v>44</v>
      </c>
      <c r="I9" s="13" t="s">
        <v>64</v>
      </c>
    </row>
    <row r="10" customFormat="false" ht="24" hidden="false" customHeight="true" outlineLevel="0" collapsed="false">
      <c r="B10" s="15"/>
      <c r="C10" s="16"/>
      <c r="D10" s="16"/>
      <c r="E10" s="16"/>
      <c r="F10" s="15"/>
      <c r="G10" s="15"/>
      <c r="H10" s="15"/>
      <c r="I10" s="15"/>
    </row>
    <row r="11" customFormat="false" ht="24" hidden="false" customHeight="true" outlineLevel="0" collapsed="false">
      <c r="B11" s="15"/>
      <c r="C11" s="16"/>
      <c r="D11" s="16"/>
      <c r="E11" s="16"/>
      <c r="F11" s="15"/>
      <c r="G11" s="15"/>
      <c r="H11" s="15"/>
      <c r="I11" s="15"/>
    </row>
    <row r="12" customFormat="false" ht="24" hidden="false" customHeight="true" outlineLevel="0" collapsed="false">
      <c r="B12" s="15"/>
      <c r="C12" s="16"/>
      <c r="D12" s="16"/>
      <c r="E12" s="16"/>
      <c r="F12" s="15"/>
      <c r="G12" s="15"/>
      <c r="H12" s="15"/>
      <c r="I12" s="15"/>
    </row>
    <row r="13" customFormat="false" ht="24" hidden="false" customHeight="true" outlineLevel="0" collapsed="false">
      <c r="B13" s="15"/>
      <c r="C13" s="16"/>
      <c r="D13" s="16"/>
      <c r="E13" s="16"/>
      <c r="F13" s="15"/>
      <c r="G13" s="15"/>
      <c r="H13" s="15"/>
      <c r="I13" s="15"/>
    </row>
    <row r="14" customFormat="false" ht="24" hidden="false" customHeight="true" outlineLevel="0" collapsed="false">
      <c r="B14" s="15"/>
      <c r="C14" s="16"/>
      <c r="D14" s="16"/>
      <c r="E14" s="16"/>
      <c r="F14" s="15"/>
      <c r="G14" s="15"/>
      <c r="H14" s="15"/>
      <c r="I14" s="15"/>
    </row>
    <row r="15" customFormat="false" ht="24" hidden="false" customHeight="true" outlineLevel="0" collapsed="false">
      <c r="B15" s="15"/>
      <c r="C15" s="16"/>
      <c r="D15" s="16"/>
      <c r="E15" s="16"/>
      <c r="F15" s="15"/>
      <c r="G15" s="15"/>
      <c r="H15" s="15"/>
      <c r="I15" s="15"/>
    </row>
    <row r="16" customFormat="false" ht="24" hidden="false" customHeight="true" outlineLevel="0" collapsed="false">
      <c r="B16" s="15"/>
      <c r="C16" s="16"/>
      <c r="D16" s="16"/>
      <c r="E16" s="16"/>
      <c r="F16" s="15"/>
      <c r="G16" s="15"/>
      <c r="H16" s="15"/>
      <c r="I16" s="15"/>
    </row>
    <row r="17" customFormat="false" ht="24" hidden="false" customHeight="true" outlineLevel="0" collapsed="false">
      <c r="B17" s="15"/>
      <c r="C17" s="16"/>
      <c r="D17" s="16"/>
      <c r="E17" s="16"/>
      <c r="F17" s="15"/>
      <c r="G17" s="15"/>
      <c r="H17" s="15"/>
      <c r="I17" s="15"/>
    </row>
    <row r="18" customFormat="false" ht="24" hidden="false" customHeight="true" outlineLevel="0" collapsed="false">
      <c r="B18" s="15"/>
      <c r="C18" s="16"/>
      <c r="D18" s="16"/>
      <c r="E18" s="16"/>
      <c r="F18" s="15"/>
      <c r="G18" s="15"/>
      <c r="H18" s="15"/>
      <c r="I18" s="15"/>
    </row>
    <row r="19" customFormat="false" ht="24" hidden="false" customHeight="true" outlineLevel="0" collapsed="false">
      <c r="B19" s="15"/>
      <c r="C19" s="16"/>
      <c r="D19" s="16"/>
      <c r="E19" s="16"/>
      <c r="F19" s="15"/>
      <c r="G19" s="15"/>
      <c r="H19" s="15"/>
      <c r="I19" s="15"/>
    </row>
    <row r="20" customFormat="false" ht="24" hidden="false" customHeight="true" outlineLevel="0" collapsed="false">
      <c r="B20" s="15"/>
      <c r="C20" s="16"/>
      <c r="D20" s="16"/>
      <c r="E20" s="16"/>
      <c r="F20" s="15"/>
      <c r="G20" s="15"/>
      <c r="H20" s="15"/>
      <c r="I20" s="15"/>
    </row>
    <row r="21" customFormat="false" ht="24" hidden="false" customHeight="true" outlineLevel="0" collapsed="false">
      <c r="B21" s="15"/>
      <c r="C21" s="16"/>
      <c r="D21" s="16"/>
      <c r="E21" s="16"/>
      <c r="F21" s="15"/>
      <c r="G21" s="15"/>
      <c r="H21" s="15"/>
      <c r="I21" s="15"/>
    </row>
    <row r="22" customFormat="false" ht="24" hidden="false" customHeight="true" outlineLevel="0" collapsed="false">
      <c r="B22" s="15"/>
      <c r="C22" s="16"/>
      <c r="D22" s="16"/>
      <c r="E22" s="16"/>
      <c r="F22" s="15"/>
      <c r="G22" s="15"/>
      <c r="H22" s="15"/>
      <c r="I22" s="15"/>
    </row>
    <row r="23" customFormat="false" ht="24" hidden="false" customHeight="true" outlineLevel="0" collapsed="false">
      <c r="B23" s="15"/>
      <c r="C23" s="16"/>
      <c r="D23" s="16"/>
      <c r="E23" s="16"/>
      <c r="F23" s="15"/>
      <c r="G23" s="15"/>
      <c r="H23" s="15"/>
      <c r="I23" s="15"/>
    </row>
    <row r="24" customFormat="false" ht="24" hidden="false" customHeight="true" outlineLevel="0" collapsed="false">
      <c r="B24" s="15"/>
      <c r="C24" s="16"/>
      <c r="D24" s="16"/>
      <c r="E24" s="16"/>
      <c r="F24" s="15"/>
      <c r="G24" s="15"/>
      <c r="H24" s="15"/>
      <c r="I24" s="15"/>
    </row>
  </sheetData>
  <mergeCells count="2">
    <mergeCell ref="B2:I2"/>
    <mergeCell ref="B3:I3"/>
  </mergeCells>
  <conditionalFormatting sqref="I10:I24">
    <cfRule type="expression" priority="2" aboveAverage="0" equalAverage="0" bottom="0" percent="0" rank="0" text="" dxfId="0">
      <formula>I10="✓ Reçue"</formula>
    </cfRule>
    <cfRule type="expression" priority="3" aboveAverage="0" equalAverage="0" bottom="0" percent="0" rank="0" text="" dxfId="1">
      <formula>I10="⏳ Attendue"</formula>
    </cfRule>
    <cfRule type="expression" priority="4" aboveAverage="0" equalAverage="0" bottom="0" percent="0" rank="0" text="" dxfId="2">
      <formula>I10="❌ Manquante"</formula>
    </cfRule>
  </conditionalFormatting>
  <dataValidations count="2">
    <dataValidation allowBlank="true" errorStyle="stop" operator="between" showDropDown="false" showErrorMessage="false" showInputMessage="false" sqref="I10:I24" type="list">
      <formula1>"✓ Reçue,⏳ Attendue,❌ Manquante"</formula1>
      <formula2>0</formula2>
    </dataValidation>
    <dataValidation allowBlank="true" errorStyle="stop" operator="between" showDropDown="false" showErrorMessage="false" showInputMessage="false" sqref="E10:E24" type="list">
      <formula1>"Métier,Pédagogie,Numérique/LMS,Handicap,Déontologie BC,VAE,Apprentissage CFA,Veille"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&amp;K888780M42 — PDC + Entretiens  ·  &amp;A  · 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8" min="7" style="0" width="14"/>
    <col collapsed="false" customWidth="true" hidden="false" outlineLevel="0" max="9" min="9" style="0" width="2"/>
  </cols>
  <sheetData>
    <row r="2" customFormat="false" ht="30" hidden="false" customHeight="true" outlineLevel="0" collapsed="false">
      <c r="B2" s="10" t="s">
        <v>67</v>
      </c>
      <c r="C2" s="10"/>
      <c r="D2" s="10"/>
      <c r="E2" s="10"/>
      <c r="F2" s="10"/>
      <c r="G2" s="10"/>
      <c r="H2" s="10"/>
    </row>
    <row r="3" customFormat="false" ht="19.5" hidden="false" customHeight="true" outlineLevel="0" collapsed="false">
      <c r="B3" s="11" t="s">
        <v>68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  <c r="H4" s="3"/>
    </row>
    <row r="6" customFormat="false" ht="30" hidden="false" customHeight="true" outlineLevel="0" collapsed="false">
      <c r="B6" s="12" t="s">
        <v>17</v>
      </c>
      <c r="C6" s="12" t="s">
        <v>69</v>
      </c>
      <c r="D6" s="12" t="s">
        <v>70</v>
      </c>
      <c r="E6" s="12" t="s">
        <v>71</v>
      </c>
      <c r="F6" s="12" t="s">
        <v>72</v>
      </c>
      <c r="G6" s="12" t="s">
        <v>73</v>
      </c>
      <c r="H6" s="12" t="s">
        <v>74</v>
      </c>
    </row>
    <row r="7" customFormat="false" ht="31.5" hidden="false" customHeight="true" outlineLevel="0" collapsed="false">
      <c r="B7" s="13" t="s">
        <v>25</v>
      </c>
      <c r="C7" s="14" t="s">
        <v>26</v>
      </c>
      <c r="D7" s="13" t="s">
        <v>75</v>
      </c>
      <c r="E7" s="14" t="s">
        <v>76</v>
      </c>
      <c r="F7" s="14" t="s">
        <v>77</v>
      </c>
      <c r="G7" s="14" t="s">
        <v>78</v>
      </c>
      <c r="H7" s="13" t="s">
        <v>79</v>
      </c>
    </row>
    <row r="8" customFormat="false" ht="31.5" hidden="false" customHeight="true" outlineLevel="0" collapsed="false">
      <c r="B8" s="13" t="s">
        <v>33</v>
      </c>
      <c r="C8" s="14" t="s">
        <v>34</v>
      </c>
      <c r="D8" s="13" t="s">
        <v>80</v>
      </c>
      <c r="E8" s="14" t="s">
        <v>76</v>
      </c>
      <c r="F8" s="14" t="s">
        <v>81</v>
      </c>
      <c r="G8" s="14" t="s">
        <v>78</v>
      </c>
      <c r="H8" s="13" t="s">
        <v>79</v>
      </c>
    </row>
    <row r="9" customFormat="false" ht="31.5" hidden="false" customHeight="true" outlineLevel="0" collapsed="false">
      <c r="B9" s="13" t="s">
        <v>40</v>
      </c>
      <c r="C9" s="14" t="s">
        <v>26</v>
      </c>
      <c r="D9" s="13" t="s">
        <v>82</v>
      </c>
      <c r="E9" s="14" t="s">
        <v>83</v>
      </c>
      <c r="F9" s="14" t="s">
        <v>84</v>
      </c>
      <c r="G9" s="14" t="s">
        <v>78</v>
      </c>
      <c r="H9" s="13" t="s">
        <v>79</v>
      </c>
    </row>
    <row r="10" customFormat="false" ht="25.5" hidden="false" customHeight="true" outlineLevel="0" collapsed="false">
      <c r="B10" s="15"/>
      <c r="C10" s="16"/>
      <c r="D10" s="15"/>
      <c r="E10" s="16"/>
      <c r="F10" s="16"/>
      <c r="G10" s="16"/>
      <c r="H10" s="15"/>
    </row>
    <row r="11" customFormat="false" ht="25.5" hidden="false" customHeight="true" outlineLevel="0" collapsed="false">
      <c r="B11" s="15"/>
      <c r="C11" s="16"/>
      <c r="D11" s="15"/>
      <c r="E11" s="16"/>
      <c r="F11" s="16"/>
      <c r="G11" s="16"/>
      <c r="H11" s="15"/>
    </row>
    <row r="12" customFormat="false" ht="25.5" hidden="false" customHeight="true" outlineLevel="0" collapsed="false">
      <c r="B12" s="15"/>
      <c r="C12" s="16"/>
      <c r="D12" s="15"/>
      <c r="E12" s="16"/>
      <c r="F12" s="16"/>
      <c r="G12" s="16"/>
      <c r="H12" s="15"/>
    </row>
    <row r="13" customFormat="false" ht="25.5" hidden="false" customHeight="true" outlineLevel="0" collapsed="false">
      <c r="B13" s="15"/>
      <c r="C13" s="16"/>
      <c r="D13" s="15"/>
      <c r="E13" s="16"/>
      <c r="F13" s="16"/>
      <c r="G13" s="16"/>
      <c r="H13" s="15"/>
    </row>
    <row r="14" customFormat="false" ht="25.5" hidden="false" customHeight="true" outlineLevel="0" collapsed="false">
      <c r="B14" s="15"/>
      <c r="C14" s="16"/>
      <c r="D14" s="15"/>
      <c r="E14" s="16"/>
      <c r="F14" s="16"/>
      <c r="G14" s="16"/>
      <c r="H14" s="15"/>
    </row>
    <row r="15" customFormat="false" ht="25.5" hidden="false" customHeight="true" outlineLevel="0" collapsed="false">
      <c r="B15" s="15"/>
      <c r="C15" s="16"/>
      <c r="D15" s="15"/>
      <c r="E15" s="16"/>
      <c r="F15" s="16"/>
      <c r="G15" s="16"/>
      <c r="H15" s="15"/>
    </row>
    <row r="16" customFormat="false" ht="25.5" hidden="false" customHeight="true" outlineLevel="0" collapsed="false">
      <c r="B16" s="15"/>
      <c r="C16" s="16"/>
      <c r="D16" s="15"/>
      <c r="E16" s="16"/>
      <c r="F16" s="16"/>
      <c r="G16" s="16"/>
      <c r="H16" s="15"/>
    </row>
    <row r="17" customFormat="false" ht="25.5" hidden="false" customHeight="true" outlineLevel="0" collapsed="false">
      <c r="B17" s="15"/>
      <c r="C17" s="16"/>
      <c r="D17" s="15"/>
      <c r="E17" s="16"/>
      <c r="F17" s="16"/>
      <c r="G17" s="16"/>
      <c r="H17" s="15"/>
    </row>
    <row r="18" customFormat="false" ht="25.5" hidden="false" customHeight="true" outlineLevel="0" collapsed="false">
      <c r="B18" s="15"/>
      <c r="C18" s="16"/>
      <c r="D18" s="15"/>
      <c r="E18" s="16"/>
      <c r="F18" s="16"/>
      <c r="G18" s="16"/>
      <c r="H18" s="15"/>
    </row>
    <row r="19" customFormat="false" ht="25.5" hidden="false" customHeight="true" outlineLevel="0" collapsed="false">
      <c r="B19" s="15"/>
      <c r="C19" s="16"/>
      <c r="D19" s="15"/>
      <c r="E19" s="16"/>
      <c r="F19" s="16"/>
      <c r="G19" s="16"/>
      <c r="H19" s="15"/>
    </row>
    <row r="20" customFormat="false" ht="25.5" hidden="false" customHeight="true" outlineLevel="0" collapsed="false">
      <c r="B20" s="15"/>
      <c r="C20" s="16"/>
      <c r="D20" s="15"/>
      <c r="E20" s="16"/>
      <c r="F20" s="16"/>
      <c r="G20" s="16"/>
      <c r="H20" s="15"/>
    </row>
    <row r="21" customFormat="false" ht="25.5" hidden="false" customHeight="true" outlineLevel="0" collapsed="false">
      <c r="B21" s="15"/>
      <c r="C21" s="16"/>
      <c r="D21" s="15"/>
      <c r="E21" s="16"/>
      <c r="F21" s="16"/>
      <c r="G21" s="16"/>
      <c r="H21" s="15"/>
    </row>
    <row r="22" customFormat="false" ht="25.5" hidden="false" customHeight="true" outlineLevel="0" collapsed="false">
      <c r="B22" s="15"/>
      <c r="C22" s="16"/>
      <c r="D22" s="15"/>
      <c r="E22" s="16"/>
      <c r="F22" s="16"/>
      <c r="G22" s="16"/>
      <c r="H22" s="15"/>
    </row>
    <row r="23" customFormat="false" ht="25.5" hidden="false" customHeight="true" outlineLevel="0" collapsed="false">
      <c r="B23" s="15"/>
      <c r="C23" s="16"/>
      <c r="D23" s="15"/>
      <c r="E23" s="16"/>
      <c r="F23" s="16"/>
      <c r="G23" s="16"/>
      <c r="H23" s="15"/>
    </row>
    <row r="24" customFormat="false" ht="25.5" hidden="false" customHeight="true" outlineLevel="0" collapsed="false">
      <c r="B24" s="15"/>
      <c r="C24" s="16"/>
      <c r="D24" s="15"/>
      <c r="E24" s="16"/>
      <c r="F24" s="16"/>
      <c r="G24" s="16"/>
      <c r="H24" s="15"/>
    </row>
  </sheetData>
  <mergeCells count="2">
    <mergeCell ref="B2:H2"/>
    <mergeCell ref="B3:H3"/>
  </mergeCells>
  <conditionalFormatting sqref="H10:H24">
    <cfRule type="expression" priority="2" aboveAverage="0" equalAverage="0" bottom="0" percent="0" rank="0" text="" dxfId="0">
      <formula>H10="✓ Signé"</formula>
    </cfRule>
    <cfRule type="expression" priority="3" aboveAverage="0" equalAverage="0" bottom="0" percent="0" rank="0" text="" dxfId="1">
      <formula>H10="⏳ En cours"</formula>
    </cfRule>
    <cfRule type="expression" priority="4" aboveAverage="0" equalAverage="0" bottom="0" percent="0" rank="0" text="" dxfId="2">
      <formula>H10="❌ Manquant"</formula>
    </cfRule>
  </conditionalFormatting>
  <dataValidations count="2">
    <dataValidation allowBlank="true" errorStyle="stop" operator="between" showDropDown="false" showErrorMessage="false" showInputMessage="false" sqref="E10:E24" type="list">
      <formula1>"Annuel (24 mois),Bilan 6 ans,État des lieux"</formula1>
      <formula2>0</formula2>
    </dataValidation>
    <dataValidation allowBlank="true" errorStyle="stop" operator="between" showDropDown="false" showErrorMessage="false" showInputMessage="false" sqref="H10:H24" type="list">
      <formula1>"✓ Signé,⏳ En cours,❌ Manquant"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&amp;K888780M42 — PDC + Entretiens  ·  &amp;A  · 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"/>
  </cols>
  <sheetData>
    <row r="2" customFormat="false" ht="30" hidden="false" customHeight="true" outlineLevel="0" collapsed="false">
      <c r="B2" s="10" t="s">
        <v>85</v>
      </c>
      <c r="C2" s="10"/>
    </row>
    <row r="3" customFormat="false" ht="19.5" hidden="false" customHeight="true" outlineLevel="0" collapsed="false">
      <c r="B3" s="11" t="s">
        <v>86</v>
      </c>
      <c r="C3" s="11"/>
    </row>
    <row r="4" customFormat="false" ht="6" hidden="false" customHeight="true" outlineLevel="0" collapsed="false">
      <c r="B4" s="3"/>
      <c r="C4" s="3"/>
    </row>
    <row r="6" customFormat="false" ht="30" hidden="false" customHeight="true" outlineLevel="0" collapsed="false">
      <c r="B6" s="17" t="s">
        <v>87</v>
      </c>
      <c r="C6" s="17" t="s">
        <v>88</v>
      </c>
    </row>
    <row r="7" customFormat="false" ht="30" hidden="false" customHeight="true" outlineLevel="0" collapsed="false">
      <c r="B7" s="18" t="s">
        <v>89</v>
      </c>
      <c r="C7" s="19" t="n">
        <f aca="false">COUNTA('📅 PDC prévisionnel'!D12:D26)</f>
        <v>0</v>
      </c>
    </row>
    <row r="8" customFormat="false" ht="30" hidden="false" customHeight="true" outlineLevel="0" collapsed="false">
      <c r="B8" s="18" t="s">
        <v>90</v>
      </c>
      <c r="C8" s="19" t="n">
        <f aca="false">COUNTA('✅ PDC réalisé'!D10:D24)</f>
        <v>0</v>
      </c>
    </row>
    <row r="9" customFormat="false" ht="30" hidden="false" customHeight="true" outlineLevel="0" collapsed="false">
      <c r="B9" s="18" t="s">
        <v>91</v>
      </c>
      <c r="C9" s="19" t="n">
        <f aca="false">SUM('✅ PDC réalisé'!F10:F24)</f>
        <v>0</v>
      </c>
    </row>
    <row r="10" customFormat="false" ht="30" hidden="false" customHeight="true" outlineLevel="0" collapsed="false">
      <c r="B10" s="18" t="s">
        <v>92</v>
      </c>
      <c r="C10" s="20" t="n">
        <f aca="false">SUM('📅 PDC prévisionnel'!H12:H26)</f>
        <v>0</v>
      </c>
    </row>
    <row r="11" customFormat="false" ht="30" hidden="false" customHeight="true" outlineLevel="0" collapsed="false">
      <c r="B11" s="18" t="s">
        <v>93</v>
      </c>
      <c r="C11" s="20" t="n">
        <f aca="false">SUM('✅ PDC réalisé'!H10:H24)</f>
        <v>0</v>
      </c>
    </row>
    <row r="12" customFormat="false" ht="30" hidden="false" customHeight="true" outlineLevel="0" collapsed="false">
      <c r="B12" s="18" t="s">
        <v>94</v>
      </c>
      <c r="C12" s="19" t="n">
        <f aca="false">COUNTIF('✅ PDC réalisé'!I10:I24,"✓ Reçue")</f>
        <v>0</v>
      </c>
    </row>
    <row r="13" customFormat="false" ht="30" hidden="false" customHeight="true" outlineLevel="0" collapsed="false">
      <c r="B13" s="18" t="s">
        <v>95</v>
      </c>
      <c r="C13" s="19" t="n">
        <f aca="false">COUNTIF('✅ PDC réalisé'!I10:I24,"❌ Manquante")+COUNTIF('✅ PDC réalisé'!I10:I24,"⏳ Attendue")</f>
        <v>0</v>
      </c>
    </row>
    <row r="14" customFormat="false" ht="30" hidden="false" customHeight="true" outlineLevel="0" collapsed="false">
      <c r="B14" s="18" t="s">
        <v>96</v>
      </c>
      <c r="C14" s="21" t="n">
        <f aca="false">IFERROR(COUNTA('✅ PDC réalisé'!D10:D24)/COUNTA('📅 PDC prévisionnel'!D12:D26),0)</f>
        <v>0</v>
      </c>
    </row>
    <row r="15" customFormat="false" ht="30" hidden="false" customHeight="true" outlineLevel="0" collapsed="false">
      <c r="B15" s="18" t="s">
        <v>97</v>
      </c>
      <c r="C15" s="19" t="n">
        <f aca="false">COUNTA('👤 Entretiens profess.'!D10:D24)</f>
        <v>0</v>
      </c>
    </row>
    <row r="16" customFormat="false" ht="30" hidden="false" customHeight="true" outlineLevel="0" collapsed="false">
      <c r="B16" s="18" t="s">
        <v>98</v>
      </c>
      <c r="C16" s="19" t="n">
        <f aca="false">COUNTIF('👤 Entretiens profess.'!H10:H24,"✓ Signé")</f>
        <v>0</v>
      </c>
    </row>
    <row r="18" customFormat="false" ht="24" hidden="false" customHeight="true" outlineLevel="0" collapsed="false">
      <c r="B18" s="22" t="s">
        <v>99</v>
      </c>
      <c r="C18" s="22"/>
    </row>
    <row r="19" customFormat="false" ht="49.5" hidden="false" customHeight="true" outlineLevel="0" collapsed="false">
      <c r="B19" s="18" t="s">
        <v>100</v>
      </c>
      <c r="C19" s="23" t="s">
        <v>101</v>
      </c>
    </row>
    <row r="20" customFormat="false" ht="49.5" hidden="false" customHeight="true" outlineLevel="0" collapsed="false">
      <c r="B20" s="18" t="s">
        <v>102</v>
      </c>
      <c r="C20" s="23" t="s">
        <v>103</v>
      </c>
    </row>
    <row r="21" customFormat="false" ht="49.5" hidden="false" customHeight="true" outlineLevel="0" collapsed="false">
      <c r="B21" s="18" t="s">
        <v>104</v>
      </c>
      <c r="C21" s="23" t="s">
        <v>105</v>
      </c>
    </row>
    <row r="22" customFormat="false" ht="49.5" hidden="false" customHeight="true" outlineLevel="0" collapsed="false">
      <c r="B22" s="18" t="s">
        <v>106</v>
      </c>
      <c r="C22" s="23" t="s">
        <v>107</v>
      </c>
    </row>
    <row r="23" customFormat="false" ht="49.5" hidden="false" customHeight="true" outlineLevel="0" collapsed="false">
      <c r="B23" s="18" t="s">
        <v>108</v>
      </c>
      <c r="C23" s="23" t="s">
        <v>109</v>
      </c>
    </row>
  </sheetData>
  <mergeCells count="3">
    <mergeCell ref="B2:C2"/>
    <mergeCell ref="B3:C3"/>
    <mergeCell ref="B18:C18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&amp;K888780M42 — PDC + Entretiens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2026-05-14T18:34:36Z</dcterms:created>
  <dc:creator>openpyxl</dc:creator>
  <dc:description/>
  <dc:language>en-US</dc:language>
  <cp:lastModifiedBy/>
  <dcterms:modified xsi:type="dcterms:W3CDTF">2026-05-14T18:34:36Z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