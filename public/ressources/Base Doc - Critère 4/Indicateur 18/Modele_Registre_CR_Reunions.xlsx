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📋 Registre annuel" sheetId="2" state="visible" r:id="rId4"/>
    <sheet name="📝 Modèle CR" sheetId="3" state="visible" r:id="rId5"/>
    <sheet name="📊 Synthèse annuel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<sst xmlns="http://schemas.openxmlformats.org/spreadsheetml/2006/main" count="139" uniqueCount="122">
  <si>
    <t xml:space="preserve">REGISTRE DES RÉUNIONS PÉDAGOGIQUES</t>
  </si>
  <si>
    <t xml:space="preserve">Modèle M35 — Traçabilité des réunions et CR — Ind. 18 (Coordination équipe pédagogique)</t>
  </si>
  <si>
    <t xml:space="preserve">À QUOI SERT CE DOCUMENT</t>
  </si>
  <si>
    <t xml:space="preserve">Registre central des réunions de coordination pédagogique. Chaque ligne représente une réunion tenue. Les CR (comptes-rendus) sont la PIÈCE DE PREUVE principale de l'Ind. 18. Sans CR écrit + daté, l'auditeur considère qu'il n'y a pas de coordination, même si des échanges informels existent.</t>
  </si>
  <si>
    <t xml:space="preserve">STRUCTURE DU CLASSEUR</t>
  </si>
  <si>
    <t xml:space="preserve">📋 Registre annuel</t>
  </si>
  <si>
    <t xml:space="preserve">Liste chronologique des réunions tenues — date, type, participants, décisions.</t>
  </si>
  <si>
    <t xml:space="preserve">📝 Modèle de CR type</t>
  </si>
  <si>
    <t xml:space="preserve">Trame réutilisable pour rédiger un CR de réunion conformément aux attentes Qualiopi.</t>
  </si>
  <si>
    <t xml:space="preserve">📊 Synthèse annuelle</t>
  </si>
  <si>
    <t xml:space="preserve">Vue d'ensemble : nombre de réunions par type, taux de tenue vs prévu, décisions clés.</t>
  </si>
  <si>
    <t xml:space="preserve">TYPES DE RÉUNIONS COUVERTES</t>
  </si>
  <si>
    <t xml:space="preserve">🔁 Équipe mensuelle</t>
  </si>
  <si>
    <t xml:space="preserve">Réunion pédagogique régulière (cf. M35) — toute l'équipe</t>
  </si>
  <si>
    <t xml:space="preserve">🚀 Briefing démarrage</t>
  </si>
  <si>
    <t xml:space="preserve">Avant chaque nouvelle action — intervenants concernés (1h min.)</t>
  </si>
  <si>
    <t xml:space="preserve">🔍 Point d'étape</t>
  </si>
  <si>
    <t xml:space="preserve">Mi-parcours d'une action longue — entre intervenants</t>
  </si>
  <si>
    <t xml:space="preserve">📤 Debriefing clôture</t>
  </si>
  <si>
    <t xml:space="preserve">Après chaque action — retour à chaud (45 min.)</t>
  </si>
  <si>
    <t xml:space="preserve">👤 Entretien annuel</t>
  </si>
  <si>
    <t xml:space="preserve">1 fois / an / intervenant — bilan + objectifs N+1</t>
  </si>
  <si>
    <t xml:space="preserve">🏛 Conseil de perfectionnement (CFA)</t>
  </si>
  <si>
    <t xml:space="preserve">Obligatoire CFA — 2 à 3 fois / an</t>
  </si>
  <si>
    <t xml:space="preserve">🤝 Réunion partenaires / sous-traitants</t>
  </si>
  <si>
    <t xml:space="preserve">Coordination avec externes — annuelle minimum</t>
  </si>
  <si>
    <t xml:space="preserve">💡 Ind. 18</t>
  </si>
  <si>
    <t xml:space="preserve">Le piège fréquent est l'oralité : « on se voit toutes les semaines » sans trace écrite = pas de preuve. Même un email récap suffit, mais doit exister. Tracer DATE, PARTICIPANTS, DÉCISIONS. C'est la preuve la plus simple à produire et la plus convaincante.</t>
  </si>
  <si>
    <t xml:space="preserve">📋 REGISTRE ANNUEL DES RÉUNIONS PÉDAGOGIQUES</t>
  </si>
  <si>
    <t xml:space="preserve">Une ligne par réunion tenue — Année [ AAAA ]</t>
  </si>
  <si>
    <t xml:space="preserve">N°</t>
  </si>
  <si>
    <t xml:space="preserve">Date</t>
  </si>
  <si>
    <t xml:space="preserve">Type de réunion</t>
  </si>
  <si>
    <t xml:space="preserve">Objet / thème principal</t>
  </si>
  <si>
    <t xml:space="preserve">Animateur</t>
  </si>
  <si>
    <t xml:space="preserve">Participants</t>
  </si>
  <si>
    <t xml:space="preserve">Décisions clés</t>
  </si>
  <si>
    <t xml:space="preserve">Présents/Prévus</t>
  </si>
  <si>
    <t xml:space="preserve">CR rédigé ?</t>
  </si>
  <si>
    <t xml:space="preserve">01</t>
  </si>
  <si>
    <t xml:space="preserve">06/01/26</t>
  </si>
  <si>
    <t xml:space="preserve">Bilan rentrée + planification S1 2026</t>
  </si>
  <si>
    <t xml:space="preserve">Resp. péda</t>
  </si>
  <si>
    <t xml:space="preserve">Direction, Resp péda, 3 formateurs internes</t>
  </si>
  <si>
    <t xml:space="preserve">Calendrier sessions S1 validé, ajustement M5</t>
  </si>
  <si>
    <t xml:space="preserve">5/6</t>
  </si>
  <si>
    <t xml:space="preserve">✓ Oui</t>
  </si>
  <si>
    <t xml:space="preserve">02</t>
  </si>
  <si>
    <t xml:space="preserve">13/01/26</t>
  </si>
  <si>
    <t xml:space="preserve">Démarrage CPCE session S01</t>
  </si>
  <si>
    <t xml:space="preserve">Formateur référent CPCE</t>
  </si>
  <si>
    <t xml:space="preserve">Référent + 2 co-intervenants + référent handicap</t>
  </si>
  <si>
    <t xml:space="preserve">Adaptations PSH formalisées (1 candidat)</t>
  </si>
  <si>
    <t xml:space="preserve">4/4</t>
  </si>
  <si>
    <t xml:space="preserve">03</t>
  </si>
  <si>
    <t xml:space="preserve">30/01/26</t>
  </si>
  <si>
    <t xml:space="preserve">Clôture session BC janvier 2026</t>
  </si>
  <si>
    <t xml:space="preserve">Resp péda + accompagnateur BC</t>
  </si>
  <si>
    <t xml:space="preserve">3 ajustements supports identifiés pour S2</t>
  </si>
  <si>
    <t xml:space="preserve">2/2</t>
  </si>
  <si>
    <t xml:space="preserve">04</t>
  </si>
  <si>
    <t xml:space="preserve">03/02/26</t>
  </si>
  <si>
    <t xml:space="preserve">Préparation audit Qualiopi surveillance</t>
  </si>
  <si>
    <t xml:space="preserve">Direction</t>
  </si>
  <si>
    <t xml:space="preserve">Direction + équipe complète + ref qualité</t>
  </si>
  <si>
    <t xml:space="preserve">Plan d'action audit validé, 12 points</t>
  </si>
  <si>
    <t xml:space="preserve">6/7</t>
  </si>
  <si>
    <t xml:space="preserve">05</t>
  </si>
  <si>
    <t xml:space="preserve">20/03/26</t>
  </si>
  <si>
    <t xml:space="preserve">🏛 Conseil perfectionnement</t>
  </si>
  <si>
    <t xml:space="preserve">1er conseil 2026 CFA — bilan promo 2025</t>
  </si>
  <si>
    <t xml:space="preserve">Direction CFA</t>
  </si>
  <si>
    <t xml:space="preserve">Direction + entreprises + apprentis + équipe</t>
  </si>
  <si>
    <t xml:space="preserve">PV intégré au dossier — 4 axes d'amélioration</t>
  </si>
  <si>
    <t xml:space="preserve">8/9</t>
  </si>
  <si>
    <t xml:space="preserve">📝 MODÈLE DE COMPTE-RENDU</t>
  </si>
  <si>
    <t xml:space="preserve">Trame à dupliquer/copier pour rédiger un CR de réunion conforme aux attentes Qualiopi</t>
  </si>
  <si>
    <t xml:space="preserve">COMPTE-RENDU DE RÉUNION PÉDAGOGIQUE</t>
  </si>
  <si>
    <t xml:space="preserve">Référence du CR</t>
  </si>
  <si>
    <t xml:space="preserve">CR-AAAA-NN (ex. CR-2026-01)</t>
  </si>
  <si>
    <t xml:space="preserve">Date de la réunion</t>
  </si>
  <si>
    <t xml:space="preserve">JJ / MM / AAAA</t>
  </si>
  <si>
    <t xml:space="preserve">Heure de début / fin</t>
  </si>
  <si>
    <t xml:space="preserve">HHhMM — HHhMM</t>
  </si>
  <si>
    <t xml:space="preserve">Lieu / format</t>
  </si>
  <si>
    <t xml:space="preserve">Salle XXX / Visioconférence (lien plateforme)</t>
  </si>
  <si>
    <t xml:space="preserve">Équipe mensuelle / Briefing / Point d'étape / Debriefing / etc.</t>
  </si>
  <si>
    <t xml:space="preserve">Animateur / Président</t>
  </si>
  <si>
    <t xml:space="preserve">Prénom NOM — fonction</t>
  </si>
  <si>
    <t xml:space="preserve">Rédacteur du CR</t>
  </si>
  <si>
    <t xml:space="preserve">Prénom NOM</t>
  </si>
  <si>
    <t xml:space="preserve">Participants présents</t>
  </si>
  <si>
    <t xml:space="preserve">Liste nominative + fonctions (ex. Prénom NOM — Resp. péda)</t>
  </si>
  <si>
    <t xml:space="preserve">Participants excusés</t>
  </si>
  <si>
    <t xml:space="preserve">Liste nominative + motif si pertinent</t>
  </si>
  <si>
    <t xml:space="preserve">Ordre du jour</t>
  </si>
  <si>
    <t xml:space="preserve">Liste numérotée des points (idéalement diffusé avant la réunion)</t>
  </si>
  <si>
    <t xml:space="preserve">POINTS DISCUTÉS — SYNTHÈSE</t>
  </si>
  <si>
    <t xml:space="preserve">Pour chaque point :</t>
  </si>
  <si>
    <t xml:space="preserve">Énoncé du point · Échanges principaux · Conclusion / décision · Suite à donner</t>
  </si>
  <si>
    <t xml:space="preserve">DÉCISIONS PRISES</t>
  </si>
  <si>
    <t xml:space="preserve">Tableau des décisions :</t>
  </si>
  <si>
    <t xml:space="preserve">N° · Décision · Responsable · Délai · Statut</t>
  </si>
  <si>
    <t xml:space="preserve">PROCHAINE RÉUNION</t>
  </si>
  <si>
    <t xml:space="preserve">Date / heure / lieu / OdJ prévisionnel :</t>
  </si>
  <si>
    <t xml:space="preserve">JJ / MM / AAAA — HHhMM — Salle / Visio — Points pressentis</t>
  </si>
  <si>
    <t xml:space="preserve">DIFFUSION</t>
  </si>
  <si>
    <t xml:space="preserve">Liste des destinataires + date d'envoi :</t>
  </si>
  <si>
    <t xml:space="preserve">Présents + Excusés + Direction si pertinent — Envoyé le JJ/MM/AAAA</t>
  </si>
  <si>
    <t xml:space="preserve">📊 SYNTHÈSE ANNUELLE DES RÉUNIONS</t>
  </si>
  <si>
    <t xml:space="preserve">Tableau de bord — nombre de réunions par type + indicateurs de tenue</t>
  </si>
  <si>
    <t xml:space="preserve">Tenues</t>
  </si>
  <si>
    <t xml:space="preserve">Cible / an</t>
  </si>
  <si>
    <t xml:space="preserve">Taux atteinte</t>
  </si>
  <si>
    <t xml:space="preserve">🤝 Réunion partenaires</t>
  </si>
  <si>
    <t xml:space="preserve">TOTAL</t>
  </si>
  <si>
    <t xml:space="preserve">🎯 INDICATEURS QUALITÉ</t>
  </si>
  <si>
    <t xml:space="preserve">Nombre total de CR rédigés (✓ Oui)</t>
  </si>
  <si>
    <t xml:space="preserve">Nombre de CR en attente (⏳ En cours)</t>
  </si>
  <si>
    <t xml:space="preserve">Taux de CR formalisés (sur total réunions)</t>
  </si>
  <si>
    <t xml:space="preserve">💡 Astuce</t>
  </si>
  <si>
    <t xml:space="preserve">Le taux de CR formalisés doit être ≥ 90% — c'est ce que l'auditeur regarde. Les réunions sans CR ne sont pas considérées comme tenues, même si elles ont eu lieu. Tenir le registre à JOUR au fil de l'eau évite l'effet « rattrapage » en fin d'année.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</si>
</sst>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4"/>
      <color rgb="FF0F2A47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11"/>
      <color rgb="FF0F2A47"/>
      <name val="Arial"/>
      <family val="0"/>
      <charset val="1"/>
    </font>
    <font>
      <sz val="11"/>
      <color rgb="FF2C2C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F2A47"/>
      <name val="Arial"/>
      <family val="0"/>
      <charset val="1"/>
    </font>
    <font>
      <b val="true"/>
      <sz val="12"/>
      <color rgb="FFD85A3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F1EFE8"/>
        <bgColor rgb="FFFAEED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BF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D8EBC2"/>
      <rgbColor rgb="FFF7DCB8"/>
      <rgbColor rgb="FF99CCFF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9.75" hidden="false" customHeight="true" outlineLevel="0" collapsed="false">
      <c r="B10" s="6" t="s">
        <v>5</v>
      </c>
      <c r="C10" s="7" t="s">
        <v>6</v>
      </c>
    </row>
    <row r="11" customFormat="false" ht="39.75" hidden="false" customHeight="true" outlineLevel="0" collapsed="false">
      <c r="B11" s="6" t="s">
        <v>7</v>
      </c>
      <c r="C11" s="7" t="s">
        <v>8</v>
      </c>
    </row>
    <row r="12" customFormat="false" ht="39.75" hidden="false" customHeight="true" outlineLevel="0" collapsed="false">
      <c r="B12" s="6" t="s">
        <v>9</v>
      </c>
      <c r="C12" s="7" t="s">
        <v>10</v>
      </c>
    </row>
    <row r="14" customFormat="false" ht="21.75" hidden="false" customHeight="true" outlineLevel="0" collapsed="false">
      <c r="B14" s="4" t="s">
        <v>11</v>
      </c>
      <c r="C14" s="4"/>
    </row>
    <row r="15" customFormat="false" ht="27.75" hidden="false" customHeight="true" outlineLevel="0" collapsed="false">
      <c r="B15" s="6" t="s">
        <v>12</v>
      </c>
      <c r="C15" s="7" t="s">
        <v>13</v>
      </c>
    </row>
    <row r="16" customFormat="false" ht="27.75" hidden="false" customHeight="true" outlineLevel="0" collapsed="false">
      <c r="B16" s="6" t="s">
        <v>14</v>
      </c>
      <c r="C16" s="7" t="s">
        <v>15</v>
      </c>
    </row>
    <row r="17" customFormat="false" ht="27.75" hidden="false" customHeight="true" outlineLevel="0" collapsed="false">
      <c r="B17" s="6" t="s">
        <v>16</v>
      </c>
      <c r="C17" s="7" t="s">
        <v>17</v>
      </c>
    </row>
    <row r="18" customFormat="false" ht="27.75" hidden="false" customHeight="true" outlineLevel="0" collapsed="false">
      <c r="B18" s="6" t="s">
        <v>18</v>
      </c>
      <c r="C18" s="7" t="s">
        <v>19</v>
      </c>
    </row>
    <row r="19" customFormat="false" ht="27.75" hidden="false" customHeight="true" outlineLevel="0" collapsed="false">
      <c r="B19" s="6" t="s">
        <v>20</v>
      </c>
      <c r="C19" s="7" t="s">
        <v>21</v>
      </c>
    </row>
    <row r="20" customFormat="false" ht="27.75" hidden="false" customHeight="true" outlineLevel="0" collapsed="false">
      <c r="B20" s="6" t="s">
        <v>22</v>
      </c>
      <c r="C20" s="7" t="s">
        <v>23</v>
      </c>
    </row>
    <row r="21" customFormat="false" ht="27.75" hidden="false" customHeight="true" outlineLevel="0" collapsed="false">
      <c r="B21" s="6" t="s">
        <v>24</v>
      </c>
      <c r="C21" s="7" t="s">
        <v>25</v>
      </c>
    </row>
    <row r="23" customFormat="false" ht="60" hidden="false" customHeight="true" outlineLevel="0" collapsed="false">
      <c r="B23" s="8" t="s">
        <v>26</v>
      </c>
      <c r="C23" s="9" t="s">
        <v>27</v>
      </c>
    </row>
  </sheetData>
  <mergeCells count="5">
    <mergeCell ref="B2:C2"/>
    <mergeCell ref="B3:C3"/>
    <mergeCell ref="B6:C6"/>
    <mergeCell ref="B9:C9"/>
    <mergeCell ref="B14:C14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&amp;K888780M35 — Registre des réunions pédagogiques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"/>
  </cols>
  <sheetData>
    <row r="2" customFormat="false" ht="30" hidden="false" customHeight="true" outlineLevel="0" collapsed="false">
      <c r="B2" s="10" t="s">
        <v>28</v>
      </c>
      <c r="C2" s="10"/>
      <c r="D2" s="10"/>
      <c r="E2" s="10"/>
      <c r="F2" s="10"/>
      <c r="G2" s="10"/>
      <c r="H2" s="10"/>
      <c r="I2" s="10"/>
      <c r="J2" s="10"/>
    </row>
    <row r="3" customFormat="false" ht="19.5" hidden="false" customHeight="true" outlineLevel="0" collapsed="false">
      <c r="B3" s="11" t="s">
        <v>29</v>
      </c>
      <c r="C3" s="11"/>
      <c r="D3" s="11"/>
      <c r="E3" s="11"/>
      <c r="F3" s="11"/>
      <c r="G3" s="11"/>
      <c r="H3" s="11"/>
      <c r="I3" s="11"/>
      <c r="J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</row>
    <row r="6" customFormat="false" ht="31.5" hidden="false" customHeight="true" outlineLevel="0" collapsed="false">
      <c r="B6" s="12" t="s">
        <v>30</v>
      </c>
      <c r="C6" s="12" t="s">
        <v>31</v>
      </c>
      <c r="D6" s="12" t="s">
        <v>32</v>
      </c>
      <c r="E6" s="12" t="s">
        <v>33</v>
      </c>
      <c r="F6" s="12" t="s">
        <v>34</v>
      </c>
      <c r="G6" s="12" t="s">
        <v>35</v>
      </c>
      <c r="H6" s="12" t="s">
        <v>36</v>
      </c>
      <c r="I6" s="12" t="s">
        <v>37</v>
      </c>
      <c r="J6" s="12" t="s">
        <v>38</v>
      </c>
    </row>
    <row r="7" customFormat="false" ht="36" hidden="false" customHeight="true" outlineLevel="0" collapsed="false">
      <c r="B7" s="13" t="s">
        <v>39</v>
      </c>
      <c r="C7" s="13" t="s">
        <v>40</v>
      </c>
      <c r="D7" s="14" t="s">
        <v>12</v>
      </c>
      <c r="E7" s="14" t="s">
        <v>41</v>
      </c>
      <c r="F7" s="14" t="s">
        <v>42</v>
      </c>
      <c r="G7" s="14" t="s">
        <v>43</v>
      </c>
      <c r="H7" s="14" t="s">
        <v>44</v>
      </c>
      <c r="I7" s="15" t="s">
        <v>45</v>
      </c>
      <c r="J7" s="15" t="s">
        <v>46</v>
      </c>
    </row>
    <row r="8" customFormat="false" ht="36" hidden="false" customHeight="true" outlineLevel="0" collapsed="false">
      <c r="B8" s="13" t="s">
        <v>47</v>
      </c>
      <c r="C8" s="13" t="s">
        <v>48</v>
      </c>
      <c r="D8" s="14" t="s">
        <v>14</v>
      </c>
      <c r="E8" s="14" t="s">
        <v>49</v>
      </c>
      <c r="F8" s="14" t="s">
        <v>50</v>
      </c>
      <c r="G8" s="14" t="s">
        <v>51</v>
      </c>
      <c r="H8" s="14" t="s">
        <v>52</v>
      </c>
      <c r="I8" s="15" t="s">
        <v>53</v>
      </c>
      <c r="J8" s="15" t="s">
        <v>46</v>
      </c>
    </row>
    <row r="9" customFormat="false" ht="36" hidden="false" customHeight="true" outlineLevel="0" collapsed="false">
      <c r="B9" s="13" t="s">
        <v>54</v>
      </c>
      <c r="C9" s="13" t="s">
        <v>55</v>
      </c>
      <c r="D9" s="14" t="s">
        <v>18</v>
      </c>
      <c r="E9" s="14" t="s">
        <v>56</v>
      </c>
      <c r="F9" s="14" t="s">
        <v>42</v>
      </c>
      <c r="G9" s="14" t="s">
        <v>57</v>
      </c>
      <c r="H9" s="14" t="s">
        <v>58</v>
      </c>
      <c r="I9" s="15" t="s">
        <v>59</v>
      </c>
      <c r="J9" s="15" t="s">
        <v>46</v>
      </c>
    </row>
    <row r="10" customFormat="false" ht="36" hidden="false" customHeight="true" outlineLevel="0" collapsed="false">
      <c r="B10" s="13" t="s">
        <v>60</v>
      </c>
      <c r="C10" s="13" t="s">
        <v>61</v>
      </c>
      <c r="D10" s="14" t="s">
        <v>12</v>
      </c>
      <c r="E10" s="14" t="s">
        <v>62</v>
      </c>
      <c r="F10" s="14" t="s">
        <v>63</v>
      </c>
      <c r="G10" s="14" t="s">
        <v>64</v>
      </c>
      <c r="H10" s="14" t="s">
        <v>65</v>
      </c>
      <c r="I10" s="15" t="s">
        <v>66</v>
      </c>
      <c r="J10" s="15" t="s">
        <v>46</v>
      </c>
    </row>
    <row r="11" customFormat="false" ht="36" hidden="false" customHeight="true" outlineLevel="0" collapsed="false">
      <c r="B11" s="13" t="s">
        <v>67</v>
      </c>
      <c r="C11" s="13" t="s">
        <v>68</v>
      </c>
      <c r="D11" s="14" t="s">
        <v>69</v>
      </c>
      <c r="E11" s="14" t="s">
        <v>70</v>
      </c>
      <c r="F11" s="14" t="s">
        <v>71</v>
      </c>
      <c r="G11" s="14" t="s">
        <v>72</v>
      </c>
      <c r="H11" s="14" t="s">
        <v>73</v>
      </c>
      <c r="I11" s="15" t="s">
        <v>74</v>
      </c>
      <c r="J11" s="15" t="s">
        <v>46</v>
      </c>
    </row>
    <row r="12" customFormat="false" ht="27.75" hidden="false" customHeight="true" outlineLevel="0" collapsed="false">
      <c r="B12" s="16"/>
      <c r="C12" s="16"/>
      <c r="D12" s="17"/>
      <c r="E12" s="17"/>
      <c r="F12" s="17"/>
      <c r="G12" s="17"/>
      <c r="H12" s="17"/>
      <c r="I12" s="16"/>
      <c r="J12" s="16"/>
    </row>
    <row r="13" customFormat="false" ht="27.75" hidden="false" customHeight="true" outlineLevel="0" collapsed="false">
      <c r="B13" s="16"/>
      <c r="C13" s="16"/>
      <c r="D13" s="17"/>
      <c r="E13" s="17"/>
      <c r="F13" s="17"/>
      <c r="G13" s="17"/>
      <c r="H13" s="17"/>
      <c r="I13" s="16"/>
      <c r="J13" s="16"/>
    </row>
    <row r="14" customFormat="false" ht="27.75" hidden="false" customHeight="true" outlineLevel="0" collapsed="false">
      <c r="B14" s="16"/>
      <c r="C14" s="16"/>
      <c r="D14" s="17"/>
      <c r="E14" s="17"/>
      <c r="F14" s="17"/>
      <c r="G14" s="17"/>
      <c r="H14" s="17"/>
      <c r="I14" s="16"/>
      <c r="J14" s="16"/>
    </row>
    <row r="15" customFormat="false" ht="27.75" hidden="false" customHeight="true" outlineLevel="0" collapsed="false">
      <c r="B15" s="16"/>
      <c r="C15" s="16"/>
      <c r="D15" s="17"/>
      <c r="E15" s="17"/>
      <c r="F15" s="17"/>
      <c r="G15" s="17"/>
      <c r="H15" s="17"/>
      <c r="I15" s="16"/>
      <c r="J15" s="16"/>
    </row>
    <row r="16" customFormat="false" ht="27.75" hidden="false" customHeight="true" outlineLevel="0" collapsed="false">
      <c r="B16" s="16"/>
      <c r="C16" s="16"/>
      <c r="D16" s="17"/>
      <c r="E16" s="17"/>
      <c r="F16" s="17"/>
      <c r="G16" s="17"/>
      <c r="H16" s="17"/>
      <c r="I16" s="16"/>
      <c r="J16" s="16"/>
    </row>
    <row r="17" customFormat="false" ht="27.75" hidden="false" customHeight="true" outlineLevel="0" collapsed="false">
      <c r="B17" s="16"/>
      <c r="C17" s="16"/>
      <c r="D17" s="17"/>
      <c r="E17" s="17"/>
      <c r="F17" s="17"/>
      <c r="G17" s="17"/>
      <c r="H17" s="17"/>
      <c r="I17" s="16"/>
      <c r="J17" s="16"/>
    </row>
    <row r="18" customFormat="false" ht="27.75" hidden="false" customHeight="true" outlineLevel="0" collapsed="false">
      <c r="B18" s="16"/>
      <c r="C18" s="16"/>
      <c r="D18" s="17"/>
      <c r="E18" s="17"/>
      <c r="F18" s="17"/>
      <c r="G18" s="17"/>
      <c r="H18" s="17"/>
      <c r="I18" s="16"/>
      <c r="J18" s="16"/>
    </row>
    <row r="19" customFormat="false" ht="27.75" hidden="false" customHeight="true" outlineLevel="0" collapsed="false">
      <c r="B19" s="16"/>
      <c r="C19" s="16"/>
      <c r="D19" s="17"/>
      <c r="E19" s="17"/>
      <c r="F19" s="17"/>
      <c r="G19" s="17"/>
      <c r="H19" s="17"/>
      <c r="I19" s="16"/>
      <c r="J19" s="16"/>
    </row>
    <row r="20" customFormat="false" ht="27.75" hidden="false" customHeight="true" outlineLevel="0" collapsed="false">
      <c r="B20" s="16"/>
      <c r="C20" s="16"/>
      <c r="D20" s="17"/>
      <c r="E20" s="17"/>
      <c r="F20" s="17"/>
      <c r="G20" s="17"/>
      <c r="H20" s="17"/>
      <c r="I20" s="16"/>
      <c r="J20" s="16"/>
    </row>
    <row r="21" customFormat="false" ht="27.75" hidden="false" customHeight="true" outlineLevel="0" collapsed="false">
      <c r="B21" s="16"/>
      <c r="C21" s="16"/>
      <c r="D21" s="17"/>
      <c r="E21" s="17"/>
      <c r="F21" s="17"/>
      <c r="G21" s="17"/>
      <c r="H21" s="17"/>
      <c r="I21" s="16"/>
      <c r="J21" s="16"/>
    </row>
    <row r="22" customFormat="false" ht="27.75" hidden="false" customHeight="true" outlineLevel="0" collapsed="false">
      <c r="B22" s="16"/>
      <c r="C22" s="16"/>
      <c r="D22" s="17"/>
      <c r="E22" s="17"/>
      <c r="F22" s="17"/>
      <c r="G22" s="17"/>
      <c r="H22" s="17"/>
      <c r="I22" s="16"/>
      <c r="J22" s="16"/>
    </row>
    <row r="23" customFormat="false" ht="27.75" hidden="false" customHeight="true" outlineLevel="0" collapsed="false">
      <c r="B23" s="16"/>
      <c r="C23" s="16"/>
      <c r="D23" s="17"/>
      <c r="E23" s="17"/>
      <c r="F23" s="17"/>
      <c r="G23" s="17"/>
      <c r="H23" s="17"/>
      <c r="I23" s="16"/>
      <c r="J23" s="16"/>
    </row>
    <row r="24" customFormat="false" ht="27.75" hidden="false" customHeight="true" outlineLevel="0" collapsed="false">
      <c r="B24" s="16"/>
      <c r="C24" s="16"/>
      <c r="D24" s="17"/>
      <c r="E24" s="17"/>
      <c r="F24" s="17"/>
      <c r="G24" s="17"/>
      <c r="H24" s="17"/>
      <c r="I24" s="16"/>
      <c r="J24" s="16"/>
    </row>
    <row r="25" customFormat="false" ht="27.75" hidden="false" customHeight="true" outlineLevel="0" collapsed="false">
      <c r="B25" s="16"/>
      <c r="C25" s="16"/>
      <c r="D25" s="17"/>
      <c r="E25" s="17"/>
      <c r="F25" s="17"/>
      <c r="G25" s="17"/>
      <c r="H25" s="17"/>
      <c r="I25" s="16"/>
      <c r="J25" s="16"/>
    </row>
    <row r="26" customFormat="false" ht="27.75" hidden="false" customHeight="true" outlineLevel="0" collapsed="false">
      <c r="B26" s="16"/>
      <c r="C26" s="16"/>
      <c r="D26" s="17"/>
      <c r="E26" s="17"/>
      <c r="F26" s="17"/>
      <c r="G26" s="17"/>
      <c r="H26" s="17"/>
      <c r="I26" s="16"/>
      <c r="J26" s="16"/>
    </row>
    <row r="27" customFormat="false" ht="27.75" hidden="false" customHeight="true" outlineLevel="0" collapsed="false">
      <c r="B27" s="16"/>
      <c r="C27" s="16"/>
      <c r="D27" s="17"/>
      <c r="E27" s="17"/>
      <c r="F27" s="17"/>
      <c r="G27" s="17"/>
      <c r="H27" s="17"/>
      <c r="I27" s="16"/>
      <c r="J27" s="16"/>
    </row>
    <row r="28" customFormat="false" ht="27.75" hidden="false" customHeight="true" outlineLevel="0" collapsed="false">
      <c r="B28" s="16"/>
      <c r="C28" s="16"/>
      <c r="D28" s="17"/>
      <c r="E28" s="17"/>
      <c r="F28" s="17"/>
      <c r="G28" s="17"/>
      <c r="H28" s="17"/>
      <c r="I28" s="16"/>
      <c r="J28" s="16"/>
    </row>
    <row r="29" customFormat="false" ht="27.75" hidden="false" customHeight="true" outlineLevel="0" collapsed="false">
      <c r="B29" s="16"/>
      <c r="C29" s="16"/>
      <c r="D29" s="17"/>
      <c r="E29" s="17"/>
      <c r="F29" s="17"/>
      <c r="G29" s="17"/>
      <c r="H29" s="17"/>
      <c r="I29" s="16"/>
      <c r="J29" s="16"/>
    </row>
    <row r="30" customFormat="false" ht="27.75" hidden="false" customHeight="true" outlineLevel="0" collapsed="false">
      <c r="B30" s="16"/>
      <c r="C30" s="16"/>
      <c r="D30" s="17"/>
      <c r="E30" s="17"/>
      <c r="F30" s="17"/>
      <c r="G30" s="17"/>
      <c r="H30" s="17"/>
      <c r="I30" s="16"/>
      <c r="J30" s="16"/>
    </row>
    <row r="31" customFormat="false" ht="27.75" hidden="false" customHeight="true" outlineLevel="0" collapsed="false">
      <c r="B31" s="16"/>
      <c r="C31" s="16"/>
      <c r="D31" s="17"/>
      <c r="E31" s="17"/>
      <c r="F31" s="17"/>
      <c r="G31" s="17"/>
      <c r="H31" s="17"/>
      <c r="I31" s="16"/>
      <c r="J31" s="16"/>
    </row>
    <row r="32" customFormat="false" ht="27.75" hidden="false" customHeight="true" outlineLevel="0" collapsed="false">
      <c r="B32" s="16"/>
      <c r="C32" s="16"/>
      <c r="D32" s="17"/>
      <c r="E32" s="17"/>
      <c r="F32" s="17"/>
      <c r="G32" s="17"/>
      <c r="H32" s="17"/>
      <c r="I32" s="16"/>
      <c r="J32" s="16"/>
    </row>
    <row r="33" customFormat="false" ht="27.75" hidden="false" customHeight="true" outlineLevel="0" collapsed="false">
      <c r="B33" s="16"/>
      <c r="C33" s="16"/>
      <c r="D33" s="17"/>
      <c r="E33" s="17"/>
      <c r="F33" s="17"/>
      <c r="G33" s="17"/>
      <c r="H33" s="17"/>
      <c r="I33" s="16"/>
      <c r="J33" s="16"/>
    </row>
    <row r="34" customFormat="false" ht="27.75" hidden="false" customHeight="true" outlineLevel="0" collapsed="false">
      <c r="B34" s="16"/>
      <c r="C34" s="16"/>
      <c r="D34" s="17"/>
      <c r="E34" s="17"/>
      <c r="F34" s="17"/>
      <c r="G34" s="17"/>
      <c r="H34" s="17"/>
      <c r="I34" s="16"/>
      <c r="J34" s="16"/>
    </row>
    <row r="35" customFormat="false" ht="27.75" hidden="false" customHeight="true" outlineLevel="0" collapsed="false">
      <c r="B35" s="16"/>
      <c r="C35" s="16"/>
      <c r="D35" s="17"/>
      <c r="E35" s="17"/>
      <c r="F35" s="17"/>
      <c r="G35" s="17"/>
      <c r="H35" s="17"/>
      <c r="I35" s="16"/>
      <c r="J35" s="16"/>
    </row>
    <row r="36" customFormat="false" ht="27.75" hidden="false" customHeight="true" outlineLevel="0" collapsed="false">
      <c r="B36" s="16"/>
      <c r="C36" s="16"/>
      <c r="D36" s="17"/>
      <c r="E36" s="17"/>
      <c r="F36" s="17"/>
      <c r="G36" s="17"/>
      <c r="H36" s="17"/>
      <c r="I36" s="16"/>
      <c r="J36" s="16"/>
    </row>
  </sheetData>
  <mergeCells count="2">
    <mergeCell ref="B2:J2"/>
    <mergeCell ref="B3:J3"/>
  </mergeCells>
  <conditionalFormatting sqref="J7:J36">
    <cfRule type="expression" priority="2" aboveAverage="0" equalAverage="0" bottom="0" percent="0" rank="0" text="" dxfId="0">
      <formula>J7="✓ Oui"</formula>
    </cfRule>
    <cfRule type="expression" priority="3" aboveAverage="0" equalAverage="0" bottom="0" percent="0" rank="0" text="" dxfId="1">
      <formula>J7="⏳ En cours"</formula>
    </cfRule>
    <cfRule type="expression" priority="4" aboveAverage="0" equalAverage="0" bottom="0" percent="0" rank="0" text="" dxfId="2">
      <formula>J7="❌ Non"</formula>
    </cfRule>
  </conditionalFormatting>
  <dataValidations count="2">
    <dataValidation allowBlank="true" errorStyle="stop" operator="between" showDropDown="false" showErrorMessage="false" showInputMessage="false" sqref="D12:D36" type="list">
      <formula1>"🔁 Équipe mensuelle,🚀 Briefing démarrage,🔍 Point détape,📤 Debriefing clôture,👤 Entretien annuel,🏛 Conseil perfectionnement,🤝 Réunion partenaires"</formula1>
      <formula2>0</formula2>
    </dataValidation>
    <dataValidation allowBlank="true" errorStyle="stop" operator="between" showDropDown="false" showErrorMessage="false" showInputMessage="false" sqref="J12:J36" type="list">
      <formula1>"✓ Oui,⏳ En cours,❌ Non"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&amp;K888780M35 — Registre des réunions pédagogiques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0" hidden="false" customHeight="true" outlineLevel="0" collapsed="false">
      <c r="B2" s="10" t="s">
        <v>75</v>
      </c>
      <c r="C2" s="10"/>
    </row>
    <row r="3" customFormat="false" ht="19.5" hidden="false" customHeight="true" outlineLevel="0" collapsed="false">
      <c r="B3" s="11" t="s">
        <v>76</v>
      </c>
      <c r="C3" s="11"/>
    </row>
    <row r="4" customFormat="false" ht="6" hidden="false" customHeight="true" outlineLevel="0" collapsed="false">
      <c r="B4" s="3"/>
      <c r="C4" s="3"/>
    </row>
    <row r="6" customFormat="false" ht="27.75" hidden="false" customHeight="true" outlineLevel="0" collapsed="false">
      <c r="B6" s="18" t="s">
        <v>77</v>
      </c>
      <c r="C6" s="18"/>
    </row>
    <row r="8" customFormat="false" ht="30" hidden="false" customHeight="true" outlineLevel="0" collapsed="false">
      <c r="B8" s="19" t="s">
        <v>78</v>
      </c>
      <c r="C8" s="20" t="s">
        <v>79</v>
      </c>
    </row>
    <row r="9" customFormat="false" ht="30" hidden="false" customHeight="true" outlineLevel="0" collapsed="false">
      <c r="B9" s="19" t="s">
        <v>80</v>
      </c>
      <c r="C9" s="20" t="s">
        <v>81</v>
      </c>
    </row>
    <row r="10" customFormat="false" ht="30" hidden="false" customHeight="true" outlineLevel="0" collapsed="false">
      <c r="B10" s="19" t="s">
        <v>82</v>
      </c>
      <c r="C10" s="20" t="s">
        <v>83</v>
      </c>
    </row>
    <row r="11" customFormat="false" ht="30" hidden="false" customHeight="true" outlineLevel="0" collapsed="false">
      <c r="B11" s="19" t="s">
        <v>84</v>
      </c>
      <c r="C11" s="20" t="s">
        <v>85</v>
      </c>
    </row>
    <row r="12" customFormat="false" ht="30" hidden="false" customHeight="true" outlineLevel="0" collapsed="false">
      <c r="B12" s="19" t="s">
        <v>32</v>
      </c>
      <c r="C12" s="20" t="s">
        <v>86</v>
      </c>
    </row>
    <row r="13" customFormat="false" ht="30" hidden="false" customHeight="true" outlineLevel="0" collapsed="false">
      <c r="B13" s="19" t="s">
        <v>87</v>
      </c>
      <c r="C13" s="20" t="s">
        <v>88</v>
      </c>
    </row>
    <row r="14" customFormat="false" ht="30" hidden="false" customHeight="true" outlineLevel="0" collapsed="false">
      <c r="B14" s="19" t="s">
        <v>89</v>
      </c>
      <c r="C14" s="20" t="s">
        <v>90</v>
      </c>
    </row>
    <row r="15" customFormat="false" ht="30" hidden="false" customHeight="true" outlineLevel="0" collapsed="false">
      <c r="B15" s="19" t="s">
        <v>91</v>
      </c>
      <c r="C15" s="20" t="s">
        <v>92</v>
      </c>
    </row>
    <row r="16" customFormat="false" ht="30" hidden="false" customHeight="true" outlineLevel="0" collapsed="false">
      <c r="B16" s="19" t="s">
        <v>93</v>
      </c>
      <c r="C16" s="20" t="s">
        <v>94</v>
      </c>
    </row>
    <row r="17" customFormat="false" ht="30" hidden="false" customHeight="true" outlineLevel="0" collapsed="false">
      <c r="B17" s="19" t="s">
        <v>95</v>
      </c>
      <c r="C17" s="20" t="s">
        <v>96</v>
      </c>
    </row>
    <row r="19" customFormat="false" ht="24" hidden="false" customHeight="true" outlineLevel="0" collapsed="false">
      <c r="B19" s="21" t="s">
        <v>97</v>
      </c>
      <c r="C19" s="21"/>
    </row>
    <row r="20" customFormat="false" ht="49.5" hidden="false" customHeight="true" outlineLevel="0" collapsed="false">
      <c r="B20" s="19" t="s">
        <v>98</v>
      </c>
      <c r="C20" s="20" t="s">
        <v>99</v>
      </c>
    </row>
    <row r="22" customFormat="false" ht="24" hidden="false" customHeight="true" outlineLevel="0" collapsed="false">
      <c r="B22" s="21" t="s">
        <v>100</v>
      </c>
      <c r="C22" s="21"/>
    </row>
    <row r="23" customFormat="false" ht="30" hidden="false" customHeight="true" outlineLevel="0" collapsed="false">
      <c r="B23" s="19" t="s">
        <v>101</v>
      </c>
      <c r="C23" s="20" t="s">
        <v>102</v>
      </c>
    </row>
    <row r="25" customFormat="false" ht="24" hidden="false" customHeight="true" outlineLevel="0" collapsed="false">
      <c r="B25" s="21" t="s">
        <v>103</v>
      </c>
      <c r="C25" s="21"/>
    </row>
    <row r="26" customFormat="false" ht="30" hidden="false" customHeight="true" outlineLevel="0" collapsed="false">
      <c r="B26" s="19" t="s">
        <v>104</v>
      </c>
      <c r="C26" s="20" t="s">
        <v>105</v>
      </c>
    </row>
    <row r="28" customFormat="false" ht="24" hidden="false" customHeight="true" outlineLevel="0" collapsed="false">
      <c r="B28" s="21" t="s">
        <v>106</v>
      </c>
      <c r="C28" s="21"/>
    </row>
    <row r="29" customFormat="false" ht="30" hidden="false" customHeight="true" outlineLevel="0" collapsed="false">
      <c r="B29" s="19" t="s">
        <v>107</v>
      </c>
      <c r="C29" s="20" t="s">
        <v>108</v>
      </c>
    </row>
  </sheetData>
  <mergeCells count="7">
    <mergeCell ref="B2:C2"/>
    <mergeCell ref="B3:C3"/>
    <mergeCell ref="B6:C6"/>
    <mergeCell ref="B19:C19"/>
    <mergeCell ref="B22:C22"/>
    <mergeCell ref="B25:C25"/>
    <mergeCell ref="B28:C28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&amp;K888780M35 — Registre des réunions pédagogiques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2"/>
  </cols>
  <sheetData>
    <row r="2" customFormat="false" ht="30" hidden="false" customHeight="true" outlineLevel="0" collapsed="false">
      <c r="B2" s="10" t="s">
        <v>109</v>
      </c>
      <c r="C2" s="10"/>
      <c r="D2" s="10"/>
      <c r="E2" s="10"/>
    </row>
    <row r="3" customFormat="false" ht="19.5" hidden="false" customHeight="true" outlineLevel="0" collapsed="false">
      <c r="B3" s="11" t="s">
        <v>110</v>
      </c>
      <c r="C3" s="11"/>
      <c r="D3" s="11"/>
      <c r="E3" s="11"/>
    </row>
    <row r="4" customFormat="false" ht="6" hidden="false" customHeight="true" outlineLevel="0" collapsed="false">
      <c r="B4" s="3"/>
      <c r="C4" s="3"/>
      <c r="D4" s="3"/>
      <c r="E4" s="3"/>
    </row>
    <row r="6" customFormat="false" ht="30" hidden="false" customHeight="true" outlineLevel="0" collapsed="false">
      <c r="B6" s="12" t="s">
        <v>32</v>
      </c>
      <c r="C6" s="12" t="s">
        <v>111</v>
      </c>
      <c r="D6" s="12" t="s">
        <v>112</v>
      </c>
      <c r="E6" s="12" t="s">
        <v>113</v>
      </c>
    </row>
    <row r="7" customFormat="false" ht="27.75" hidden="false" customHeight="true" outlineLevel="0" collapsed="false">
      <c r="B7" s="22" t="s">
        <v>12</v>
      </c>
      <c r="C7" s="23" t="n">
        <f aca="false">COUNTIF('📋 Registre annuel'!D7:D40,B7)</f>
        <v>2</v>
      </c>
      <c r="D7" s="24" t="n">
        <v>11</v>
      </c>
      <c r="E7" s="25" t="n">
        <f aca="false">IFERROR(C7/D7,0)</f>
        <v>0.181818181818182</v>
      </c>
    </row>
    <row r="8" customFormat="false" ht="27.75" hidden="false" customHeight="true" outlineLevel="0" collapsed="false">
      <c r="B8" s="22" t="s">
        <v>14</v>
      </c>
      <c r="C8" s="23" t="n">
        <f aca="false">COUNTIF('📋 Registre annuel'!D7:D40,B8)</f>
        <v>1</v>
      </c>
      <c r="D8" s="24" t="n">
        <v>10</v>
      </c>
      <c r="E8" s="25" t="n">
        <f aca="false">IFERROR(C8/D8,0)</f>
        <v>0.1</v>
      </c>
    </row>
    <row r="9" customFormat="false" ht="27.75" hidden="false" customHeight="true" outlineLevel="0" collapsed="false">
      <c r="B9" s="22" t="s">
        <v>16</v>
      </c>
      <c r="C9" s="23" t="n">
        <f aca="false">COUNTIF('📋 Registre annuel'!D7:D40,B9)</f>
        <v>0</v>
      </c>
      <c r="D9" s="24" t="n">
        <v>8</v>
      </c>
      <c r="E9" s="25" t="n">
        <f aca="false">IFERROR(C9/D9,0)</f>
        <v>0</v>
      </c>
    </row>
    <row r="10" customFormat="false" ht="27.75" hidden="false" customHeight="true" outlineLevel="0" collapsed="false">
      <c r="B10" s="22" t="s">
        <v>18</v>
      </c>
      <c r="C10" s="23" t="n">
        <f aca="false">COUNTIF('📋 Registre annuel'!D7:D40,B10)</f>
        <v>1</v>
      </c>
      <c r="D10" s="24" t="n">
        <v>10</v>
      </c>
      <c r="E10" s="25" t="n">
        <f aca="false">IFERROR(C10/D10,0)</f>
        <v>0.1</v>
      </c>
    </row>
    <row r="11" customFormat="false" ht="27.75" hidden="false" customHeight="true" outlineLevel="0" collapsed="false">
      <c r="B11" s="22" t="s">
        <v>20</v>
      </c>
      <c r="C11" s="23" t="n">
        <f aca="false">COUNTIF('📋 Registre annuel'!D7:D40,B11)</f>
        <v>0</v>
      </c>
      <c r="D11" s="24" t="n">
        <v>8</v>
      </c>
      <c r="E11" s="25" t="n">
        <f aca="false">IFERROR(C11/D11,0)</f>
        <v>0</v>
      </c>
    </row>
    <row r="12" customFormat="false" ht="27.75" hidden="false" customHeight="true" outlineLevel="0" collapsed="false">
      <c r="B12" s="22" t="s">
        <v>69</v>
      </c>
      <c r="C12" s="23" t="n">
        <f aca="false">COUNTIF('📋 Registre annuel'!D7:D40,B12)</f>
        <v>1</v>
      </c>
      <c r="D12" s="24" t="n">
        <v>3</v>
      </c>
      <c r="E12" s="25" t="n">
        <f aca="false">IFERROR(C12/D12,0)</f>
        <v>0.333333333333333</v>
      </c>
    </row>
    <row r="13" customFormat="false" ht="27.75" hidden="false" customHeight="true" outlineLevel="0" collapsed="false">
      <c r="B13" s="22" t="s">
        <v>114</v>
      </c>
      <c r="C13" s="23" t="n">
        <f aca="false">COUNTIF('📋 Registre annuel'!D7:D40,B13)</f>
        <v>0</v>
      </c>
      <c r="D13" s="24" t="n">
        <v>4</v>
      </c>
      <c r="E13" s="25" t="n">
        <f aca="false">IFERROR(C13/D13,0)</f>
        <v>0</v>
      </c>
    </row>
    <row r="14" customFormat="false" ht="30" hidden="false" customHeight="true" outlineLevel="0" collapsed="false">
      <c r="B14" s="26" t="s">
        <v>115</v>
      </c>
      <c r="C14" s="27" t="n">
        <f aca="false">SUM(C7:C13)</f>
        <v>5</v>
      </c>
      <c r="D14" s="27" t="n">
        <f aca="false">SUM(D7:D13)</f>
        <v>54</v>
      </c>
      <c r="E14" s="28" t="n">
        <f aca="false">IFERROR(C14/D14,0)</f>
        <v>0.0925925925925926</v>
      </c>
    </row>
    <row r="16" customFormat="false" ht="24" hidden="false" customHeight="true" outlineLevel="0" collapsed="false">
      <c r="B16" s="21" t="s">
        <v>116</v>
      </c>
      <c r="C16" s="21"/>
      <c r="D16" s="21"/>
      <c r="E16" s="21"/>
    </row>
    <row r="17" customFormat="false" ht="27.75" hidden="false" customHeight="true" outlineLevel="0" collapsed="false">
      <c r="B17" s="19" t="s">
        <v>117</v>
      </c>
      <c r="C17" s="19"/>
      <c r="D17" s="19"/>
      <c r="E17" s="29" t="n">
        <f aca="false">COUNTIF('📋 Registre annuel'!J7:J40,"✓ Oui")</f>
        <v>5</v>
      </c>
    </row>
    <row r="18" customFormat="false" ht="27.75" hidden="false" customHeight="true" outlineLevel="0" collapsed="false">
      <c r="B18" s="19" t="s">
        <v>118</v>
      </c>
      <c r="C18" s="19"/>
      <c r="D18" s="19"/>
      <c r="E18" s="30" t="n">
        <f aca="false">COUNTIF('📋 Registre annuel'!J7:J40,"⏳ En cours")</f>
        <v>0</v>
      </c>
    </row>
    <row r="19" customFormat="false" ht="27.75" hidden="false" customHeight="true" outlineLevel="0" collapsed="false">
      <c r="B19" s="19" t="s">
        <v>119</v>
      </c>
      <c r="C19" s="19"/>
      <c r="D19" s="19"/>
      <c r="E19" s="31" t="n">
        <f aca="false">IFERROR(COUNTIF('📋 Registre annuel'!J7:J40,"✓ Oui")/COUNTA('📋 Registre annuel'!C7:C40),0)</f>
        <v>1</v>
      </c>
    </row>
    <row r="21" customFormat="false" ht="55.5" hidden="false" customHeight="true" outlineLevel="0" collapsed="false">
      <c r="B21" s="8" t="s">
        <v>120</v>
      </c>
      <c r="C21" s="9" t="s">
        <v>121</v>
      </c>
      <c r="D21" s="9"/>
      <c r="E21" s="9"/>
    </row>
  </sheetData>
  <mergeCells count="7">
    <mergeCell ref="B2:E2"/>
    <mergeCell ref="B3:E3"/>
    <mergeCell ref="B16:E16"/>
    <mergeCell ref="B17:D17"/>
    <mergeCell ref="B18:D18"/>
    <mergeCell ref="B19:D19"/>
    <mergeCell ref="C21:E21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&amp;K888780M35 — Registre des réunions pédagogiques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2026-05-14T18:05:45Z</dcterms:created>
  <dc:creator>openpyxl</dc:creator>
  <dc:description/>
  <dc:language>en-US</dc:language>
  <cp:lastModifiedBy/>
  <dcterms:modified xsi:type="dcterms:W3CDTF">2026-05-14T18:05:45Z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