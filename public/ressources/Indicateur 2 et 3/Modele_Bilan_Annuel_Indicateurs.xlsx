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-nia\Downloads\Indicateur 2 et 3\"/>
    </mc:Choice>
  </mc:AlternateContent>
  <xr:revisionPtr revIDLastSave="0" documentId="13_ncr:1_{B14AD976-537D-4D1E-B20A-6B507F39765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de d'emploi" sheetId="1" r:id="rId1"/>
    <sheet name="Saisie données" sheetId="2" r:id="rId2"/>
    <sheet name="Bilan synthèse" sheetId="3" r:id="rId3"/>
    <sheet name="Publication site web" sheetId="4" r:id="rId4"/>
  </sheets>
  <definedNames>
    <definedName name="_xlnm.Print_Area" localSheetId="2">'Bilan synthèse'!$A$1:$F$23</definedName>
    <definedName name="_xlnm.Print_Area" localSheetId="0">'Mode d''emploi'!$A$1:$H$30</definedName>
    <definedName name="_xlnm.Print_Area" localSheetId="3">'Publication site web'!$A$1:$D$19</definedName>
    <definedName name="_xlnm.Print_Area" localSheetId="1">'Saisie données'!$A$1:$K$32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" l="1"/>
  <c r="C14" i="4"/>
  <c r="C13" i="4"/>
  <c r="C12" i="4"/>
  <c r="C11" i="4"/>
  <c r="D19" i="3"/>
  <c r="C19" i="3"/>
  <c r="B19" i="3"/>
  <c r="D18" i="3"/>
  <c r="C18" i="3"/>
  <c r="B18" i="3"/>
  <c r="D17" i="3"/>
  <c r="C17" i="3"/>
  <c r="B17" i="3"/>
  <c r="D16" i="3"/>
  <c r="E16" i="3" s="1"/>
  <c r="C16" i="3"/>
  <c r="B16" i="3"/>
  <c r="D15" i="3"/>
  <c r="C15" i="3"/>
  <c r="B15" i="3"/>
  <c r="D14" i="3"/>
  <c r="E14" i="3" s="1"/>
  <c r="C14" i="3"/>
  <c r="B14" i="3"/>
  <c r="D13" i="3"/>
  <c r="B11" i="4" s="1"/>
  <c r="C13" i="3"/>
  <c r="E13" i="3" s="1"/>
  <c r="B13" i="3"/>
  <c r="D12" i="3"/>
  <c r="E12" i="3" s="1"/>
  <c r="C12" i="3"/>
  <c r="B12" i="3"/>
  <c r="B15" i="4" l="1"/>
  <c r="E19" i="3"/>
  <c r="B14" i="4"/>
  <c r="E18" i="3"/>
  <c r="E17" i="3"/>
  <c r="B13" i="4"/>
  <c r="B12" i="4"/>
  <c r="E15" i="3"/>
</calcChain>
</file>

<file path=xl/sharedStrings.xml><?xml version="1.0" encoding="utf-8"?>
<sst xmlns="http://schemas.openxmlformats.org/spreadsheetml/2006/main" count="84" uniqueCount="77">
  <si>
    <t>MODÈLE QUALIOPI · BASE DOCUMENTAIRE</t>
  </si>
  <si>
    <t>Bilan annuel des indicateurs Qualiopi</t>
  </si>
  <si>
    <t>Tableau de bord pour publier vos indicateurs sur 3 années glissantes</t>
  </si>
  <si>
    <t>À QUOI SERT CE FICHIER</t>
  </si>
  <si>
    <t>Ce classeur permet de centraliser, suivre et publier vos indicateurs de résultats exigés par l'indicateur 2 du Référentiel National Qualité. Les chiffres saisis ici alimentent votre page « Nos résultats » sur votre site web et les fiches prestation.</t>
  </si>
  <si>
    <t>COMMENT L'UTILISER</t>
  </si>
  <si>
    <t>1. Allez dans l'onglet « Saisie données » et remplissez les cellules en bleu clair pour l'année en cours.</t>
  </si>
  <si>
    <t>2. L'onglet « Bilan synthèse » se met à jour automatiquement avec calculs de taux et évolutions.</t>
  </si>
  <si>
    <t>3. L'onglet « Publication site web » donne une version prête à recopier sur votre page « Nos résultats ».</t>
  </si>
  <si>
    <t>4. Cellules grisées = formules à ne pas modifier. Cellules bleu clair = à remplir.</t>
  </si>
  <si>
    <t>5. Conservez ce fichier mis à jour. À chaque nouvelle session, complétez les données.</t>
  </si>
  <si>
    <t>INDICATEURS QUALIOPI COUVERTS</t>
  </si>
  <si>
    <t>Ind. 2 (Majeure)</t>
  </si>
  <si>
    <t>Publication des résultats obtenus (satisfaction, assiduité, abandons)</t>
  </si>
  <si>
    <t>Ind. 11</t>
  </si>
  <si>
    <t>Évaluation des acquis — alimente les taux de réussite</t>
  </si>
  <si>
    <t>Ind. 12</t>
  </si>
  <si>
    <t>Suivi et prévention des abandons</t>
  </si>
  <si>
    <t>Ind. 22</t>
  </si>
  <si>
    <t>Taux de réussite à la certification (si applicable)</t>
  </si>
  <si>
    <t>Ind. 29 (Majeure CFA)</t>
  </si>
  <si>
    <t>Taux d'insertion professionnelle (CFA uniquement)</t>
  </si>
  <si>
    <t>Ind. 30</t>
  </si>
  <si>
    <t>Recueil des appréciations à chaud et à froid</t>
  </si>
  <si>
    <t>Saisie des données par session</t>
  </si>
  <si>
    <t>Renseignez les cellules bleu clair pour chaque session de formation</t>
  </si>
  <si>
    <t>Année</t>
  </si>
  <si>
    <t>Intitulé formation</t>
  </si>
  <si>
    <t>Catégorie
(AF/BC/VAE/CFA)</t>
  </si>
  <si>
    <t>Effectif
entrée</t>
  </si>
  <si>
    <t>Effectif
fin</t>
  </si>
  <si>
    <t>Abandons</t>
  </si>
  <si>
    <t>Présents à
l'évaluation</t>
  </si>
  <si>
    <t>Réussite
évaluation</t>
  </si>
  <si>
    <t>Satisfaction
moyenne /10</t>
  </si>
  <si>
    <t>Insertion N+6
(CFA)</t>
  </si>
  <si>
    <t>Commentaires</t>
  </si>
  <si>
    <t>Stratégie communication digitale</t>
  </si>
  <si>
    <t>AF</t>
  </si>
  <si>
    <t>Exemple à remplacer — session pilote janvier 2026</t>
  </si>
  <si>
    <t>Note RNQ</t>
  </si>
  <si>
    <t>Indicateur 2 (Majeure) — Tenez ce tableau à jour à chaque fin de session. Les chiffres alimentent automatiquement la synthèse et la version publication site. La méthodologie de calcul doit pouvoir être expliquée en audit.</t>
  </si>
  <si>
    <t>Bilan synthèse annuel</t>
  </si>
  <si>
    <t>Calculs automatiques à partir de la feuille « Saisie données »</t>
  </si>
  <si>
    <t>INDICATEURS PAR ANNÉE</t>
  </si>
  <si>
    <t>Indicateur</t>
  </si>
  <si>
    <t>Année N-2</t>
  </si>
  <si>
    <t>Année N-1</t>
  </si>
  <si>
    <t>Année N</t>
  </si>
  <si>
    <t>Évolution N/N-1</t>
  </si>
  <si>
    <t>Commentaire</t>
  </si>
  <si>
    <t>Année calendaire</t>
  </si>
  <si>
    <t>Nb sessions</t>
  </si>
  <si>
    <t>Nb stagiaires entrants</t>
  </si>
  <si>
    <t>Nb stagiaires fin</t>
  </si>
  <si>
    <t>Taux d'assiduité</t>
  </si>
  <si>
    <t>Taux d'abandon</t>
  </si>
  <si>
    <t>Taux de réussite éval.</t>
  </si>
  <si>
    <t>Satisfaction moyenne /10</t>
  </si>
  <si>
    <t>Taux d'insertion CFA N+6</t>
  </si>
  <si>
    <t>L'évolution N/N-1 permet d'identifier les tendances. Une baisse significative (&gt;10 %) doit alimenter un plan d'action que l'auditeur peut demander à voir (Ind. 32 amélioration continue).</t>
  </si>
  <si>
    <t>Version publication site web</t>
  </si>
  <si>
    <t>Texte prêt à recopier sur votre page « Nos résultats »</t>
  </si>
  <si>
    <t>INDICATEURS DE RÉSULTATS</t>
  </si>
  <si>
    <t>Valeur</t>
  </si>
  <si>
    <t>Période</t>
  </si>
  <si>
    <t>Méthodologie</t>
  </si>
  <si>
    <t>Nombre total de stagiaires formés</t>
  </si>
  <si>
    <t>Stagiaires entrants sur l'année calendaire</t>
  </si>
  <si>
    <t>Heures suivies / heures contractualisées</t>
  </si>
  <si>
    <t>Taux de réussite à l'évaluation</t>
  </si>
  <si>
    <t>Stagiaires ayant validé / stagiaires évalués</t>
  </si>
  <si>
    <t>Satisfaction des bénéficiaires (sur 10)</t>
  </si>
  <si>
    <t>Moyenne des notes globales de satisfaction</t>
  </si>
  <si>
    <t>Taux d'insertion à N+6 mois (CFA)</t>
  </si>
  <si>
    <t>Apprentis en emploi 6 mois après fin de contrat</t>
  </si>
  <si>
    <t>Recopiez ces indicateurs (libellé + valeur + période + méthodologie) sur votre page « Nos résultats ». Mettez à jour à chaque fin d'année calendaire. La date de mise à jour du site doit refléter celle de votre dernière mise à jour de données.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</si>
</sst>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;\-0;\-"/>
    <numFmt numFmtId="165" formatCode="0.0;\-0.0;\-"/>
    <numFmt numFmtId="166" formatCode="0%;\-0%;\-"/>
    <numFmt numFmtId="167" formatCode="\+0.0%;\-0.0%;\-"/>
    <numFmt numFmtId="168" formatCode="0.0%"/>
    <numFmt numFmtId="169" formatCode="0.0"/>
    <numFmt numFmtId="170" formatCode="0.0%;\-0.0%;\-"/>
  </numFmts>
  <fonts count="13" x14ac:knownFonts="1">
    <font>
      <sz val="11"/>
      <color theme="1"/>
      <name val="Calibri"/>
      <family val="2"/>
      <scheme val="minor"/>
    </font>
    <font>
      <b/>
      <sz val="10"/>
      <color rgb="FFD85A30"/>
      <name val="Calibri"/>
    </font>
    <font>
      <b/>
      <sz val="28"/>
      <color rgb="FF0F2A47"/>
      <name val="Calibri"/>
    </font>
    <font>
      <i/>
      <sz val="12"/>
      <color rgb="FF5F5E5A"/>
      <name val="Calibri"/>
    </font>
    <font>
      <b/>
      <sz val="12"/>
      <color rgb="FFD85A30"/>
      <name val="Calibri"/>
    </font>
    <font>
      <sz val="11"/>
      <color rgb="FF2C2C2A"/>
      <name val="Calibri"/>
    </font>
    <font>
      <b/>
      <sz val="11"/>
      <color rgb="FF0F2A47"/>
      <name val="Calibri"/>
    </font>
    <font>
      <b/>
      <sz val="24"/>
      <color rgb="FF0F2A47"/>
      <name val="Calibri"/>
    </font>
    <font>
      <b/>
      <sz val="11"/>
      <color rgb="FFFFFFFF"/>
      <name val="Calibri"/>
    </font>
    <font>
      <i/>
      <sz val="11"/>
      <color rgb="FF888780"/>
      <name val="Calibri"/>
    </font>
    <font>
      <b/>
      <sz val="10"/>
      <color rgb="FF854F0B"/>
      <name val="Calibri"/>
    </font>
    <font>
      <i/>
      <sz val="10"/>
      <color rgb="FF854F0B"/>
      <name val="Calibri"/>
    </font>
    <font>
      <i/>
      <sz val="10"/>
      <color rgb="FF5F5E5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2A47"/>
      </patternFill>
    </fill>
    <fill>
      <patternFill patternType="solid">
        <fgColor rgb="FFE6F0FA"/>
      </patternFill>
    </fill>
    <fill>
      <patternFill patternType="solid">
        <fgColor rgb="FFF1EFE8"/>
      </patternFill>
    </fill>
    <fill>
      <patternFill patternType="solid">
        <fgColor rgb="FFFAEEDA"/>
      </patternFill>
    </fill>
    <fill>
      <patternFill patternType="solid">
        <fgColor rgb="FFFBFAF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85A30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6" fillId="0" borderId="0" xfId="0" applyFont="1"/>
    <xf numFmtId="0" fontId="7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164" fontId="9" fillId="4" borderId="2" xfId="0" applyNumberFormat="1" applyFont="1" applyFill="1" applyBorder="1" applyAlignment="1">
      <alignment horizontal="center" vertical="center" wrapText="1"/>
    </xf>
    <xf numFmtId="165" fontId="9" fillId="4" borderId="2" xfId="0" applyNumberFormat="1" applyFont="1" applyFill="1" applyBorder="1" applyAlignment="1">
      <alignment horizontal="center" vertical="center" wrapText="1"/>
    </xf>
    <xf numFmtId="166" fontId="9" fillId="4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 wrapText="1"/>
    </xf>
    <xf numFmtId="166" fontId="5" fillId="3" borderId="2" xfId="0" applyNumberFormat="1" applyFont="1" applyFill="1" applyBorder="1" applyAlignment="1">
      <alignment horizontal="center" vertical="center" wrapText="1"/>
    </xf>
    <xf numFmtId="0" fontId="10" fillId="5" borderId="0" xfId="0" applyFont="1" applyFill="1"/>
    <xf numFmtId="0" fontId="6" fillId="6" borderId="2" xfId="0" applyFont="1" applyFill="1" applyBorder="1"/>
    <xf numFmtId="1" fontId="5" fillId="3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67" fontId="5" fillId="0" borderId="2" xfId="0" applyNumberFormat="1" applyFont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 wrapText="1"/>
    </xf>
    <xf numFmtId="169" fontId="5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170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showGridLines="0" topLeftCell="A8" workbookViewId="0"/>
  </sheetViews>
  <sheetFormatPr baseColWidth="10" defaultColWidth="9.140625" defaultRowHeight="15" x14ac:dyDescent="0.25"/>
  <cols>
    <col min="1" max="1" width="28" customWidth="1"/>
    <col min="2" max="8" width="14" customWidth="1"/>
  </cols>
  <sheetData>
    <row r="1" spans="1:8" x14ac:dyDescent="0.25">
      <c r="A1" s="1" t="s">
        <v>0</v>
      </c>
    </row>
    <row r="3" spans="1:8" ht="36" customHeight="1" x14ac:dyDescent="0.55000000000000004">
      <c r="A3" s="2" t="s">
        <v>1</v>
      </c>
    </row>
    <row r="4" spans="1:8" ht="15.75" x14ac:dyDescent="0.25">
      <c r="A4" s="3" t="s">
        <v>2</v>
      </c>
    </row>
    <row r="6" spans="1:8" x14ac:dyDescent="0.25">
      <c r="A6" s="4"/>
      <c r="B6" s="4"/>
      <c r="C6" s="4"/>
      <c r="D6" s="4"/>
      <c r="E6" s="4"/>
      <c r="F6" s="4"/>
      <c r="G6" s="4"/>
      <c r="H6" s="4"/>
    </row>
    <row r="8" spans="1:8" ht="15.75" x14ac:dyDescent="0.25">
      <c r="A8" s="30" t="s">
        <v>3</v>
      </c>
      <c r="B8" s="31"/>
      <c r="C8" s="31"/>
      <c r="D8" s="31"/>
      <c r="E8" s="31"/>
      <c r="F8" s="31"/>
      <c r="G8" s="31"/>
      <c r="H8" s="31"/>
    </row>
    <row r="10" spans="1:8" ht="39.950000000000003" customHeight="1" x14ac:dyDescent="0.25">
      <c r="A10" s="32" t="s">
        <v>4</v>
      </c>
      <c r="B10" s="31"/>
      <c r="C10" s="31"/>
      <c r="D10" s="31"/>
      <c r="E10" s="31"/>
      <c r="F10" s="31"/>
      <c r="G10" s="31"/>
      <c r="H10" s="31"/>
    </row>
    <row r="12" spans="1:8" ht="15.75" x14ac:dyDescent="0.25">
      <c r="A12" s="30" t="s">
        <v>5</v>
      </c>
      <c r="B12" s="31"/>
      <c r="C12" s="31"/>
      <c r="D12" s="31"/>
      <c r="E12" s="31"/>
      <c r="F12" s="31"/>
      <c r="G12" s="31"/>
      <c r="H12" s="31"/>
    </row>
    <row r="14" spans="1:8" ht="20.100000000000001" customHeight="1" x14ac:dyDescent="0.25">
      <c r="A14" s="32" t="s">
        <v>6</v>
      </c>
      <c r="B14" s="31"/>
      <c r="C14" s="31"/>
      <c r="D14" s="31"/>
      <c r="E14" s="31"/>
      <c r="F14" s="31"/>
      <c r="G14" s="31"/>
      <c r="H14" s="31"/>
    </row>
    <row r="15" spans="1:8" ht="20.100000000000001" customHeight="1" x14ac:dyDescent="0.25">
      <c r="A15" s="32" t="s">
        <v>7</v>
      </c>
      <c r="B15" s="31"/>
      <c r="C15" s="31"/>
      <c r="D15" s="31"/>
      <c r="E15" s="31"/>
      <c r="F15" s="31"/>
      <c r="G15" s="31"/>
      <c r="H15" s="31"/>
    </row>
    <row r="16" spans="1:8" ht="20.100000000000001" customHeight="1" x14ac:dyDescent="0.25">
      <c r="A16" s="32" t="s">
        <v>8</v>
      </c>
      <c r="B16" s="31"/>
      <c r="C16" s="31"/>
      <c r="D16" s="31"/>
      <c r="E16" s="31"/>
      <c r="F16" s="31"/>
      <c r="G16" s="31"/>
      <c r="H16" s="31"/>
    </row>
    <row r="17" spans="1:8" ht="20.100000000000001" customHeight="1" x14ac:dyDescent="0.25">
      <c r="A17" s="32" t="s">
        <v>9</v>
      </c>
      <c r="B17" s="31"/>
      <c r="C17" s="31"/>
      <c r="D17" s="31"/>
      <c r="E17" s="31"/>
      <c r="F17" s="31"/>
      <c r="G17" s="31"/>
      <c r="H17" s="31"/>
    </row>
    <row r="18" spans="1:8" ht="20.100000000000001" customHeight="1" x14ac:dyDescent="0.25">
      <c r="A18" s="32" t="s">
        <v>10</v>
      </c>
      <c r="B18" s="31"/>
      <c r="C18" s="31"/>
      <c r="D18" s="31"/>
      <c r="E18" s="31"/>
      <c r="F18" s="31"/>
      <c r="G18" s="31"/>
      <c r="H18" s="31"/>
    </row>
    <row r="21" spans="1:8" ht="15.75" x14ac:dyDescent="0.25">
      <c r="A21" s="30" t="s">
        <v>11</v>
      </c>
      <c r="B21" s="31"/>
      <c r="C21" s="31"/>
      <c r="D21" s="31"/>
      <c r="E21" s="31"/>
      <c r="F21" s="31"/>
      <c r="G21" s="31"/>
      <c r="H21" s="31"/>
    </row>
    <row r="23" spans="1:8" ht="18" customHeight="1" x14ac:dyDescent="0.25">
      <c r="A23" s="5" t="s">
        <v>12</v>
      </c>
      <c r="B23" s="32" t="s">
        <v>13</v>
      </c>
      <c r="C23" s="31"/>
      <c r="D23" s="31"/>
      <c r="E23" s="31"/>
      <c r="F23" s="31"/>
      <c r="G23" s="31"/>
      <c r="H23" s="31"/>
    </row>
    <row r="24" spans="1:8" ht="18" customHeight="1" x14ac:dyDescent="0.25">
      <c r="A24" s="5" t="s">
        <v>14</v>
      </c>
      <c r="B24" s="32" t="s">
        <v>15</v>
      </c>
      <c r="C24" s="31"/>
      <c r="D24" s="31"/>
      <c r="E24" s="31"/>
      <c r="F24" s="31"/>
      <c r="G24" s="31"/>
      <c r="H24" s="31"/>
    </row>
    <row r="25" spans="1:8" ht="18" customHeight="1" x14ac:dyDescent="0.25">
      <c r="A25" s="5" t="s">
        <v>16</v>
      </c>
      <c r="B25" s="32" t="s">
        <v>17</v>
      </c>
      <c r="C25" s="31"/>
      <c r="D25" s="31"/>
      <c r="E25" s="31"/>
      <c r="F25" s="31"/>
      <c r="G25" s="31"/>
      <c r="H25" s="31"/>
    </row>
    <row r="26" spans="1:8" ht="18" customHeight="1" x14ac:dyDescent="0.25">
      <c r="A26" s="5" t="s">
        <v>18</v>
      </c>
      <c r="B26" s="32" t="s">
        <v>19</v>
      </c>
      <c r="C26" s="31"/>
      <c r="D26" s="31"/>
      <c r="E26" s="31"/>
      <c r="F26" s="31"/>
      <c r="G26" s="31"/>
      <c r="H26" s="31"/>
    </row>
    <row r="27" spans="1:8" ht="18" customHeight="1" x14ac:dyDescent="0.25">
      <c r="A27" s="5" t="s">
        <v>20</v>
      </c>
      <c r="B27" s="32" t="s">
        <v>21</v>
      </c>
      <c r="C27" s="31"/>
      <c r="D27" s="31"/>
      <c r="E27" s="31"/>
      <c r="F27" s="31"/>
      <c r="G27" s="31"/>
      <c r="H27" s="31"/>
    </row>
    <row r="28" spans="1:8" ht="18" customHeight="1" x14ac:dyDescent="0.25">
      <c r="A28" s="5" t="s">
        <v>22</v>
      </c>
      <c r="B28" s="32" t="s">
        <v>23</v>
      </c>
      <c r="C28" s="31"/>
      <c r="D28" s="31"/>
      <c r="E28" s="31"/>
      <c r="F28" s="31"/>
      <c r="G28" s="31"/>
      <c r="H28" s="31"/>
    </row>
  </sheetData>
  <mergeCells count="15">
    <mergeCell ref="A8:H8"/>
    <mergeCell ref="B28:H28"/>
    <mergeCell ref="A17:H17"/>
    <mergeCell ref="B26:H26"/>
    <mergeCell ref="B27:H27"/>
    <mergeCell ref="A16:H16"/>
    <mergeCell ref="A10:H10"/>
    <mergeCell ref="B24:H24"/>
    <mergeCell ref="A14:H14"/>
    <mergeCell ref="B25:H25"/>
    <mergeCell ref="A12:H12"/>
    <mergeCell ref="A18:H18"/>
    <mergeCell ref="A21:H21"/>
    <mergeCell ref="B23:H23"/>
    <mergeCell ref="A15:H15"/>
  </mergeCells>
  <pageMargins left="0.5" right="0.5" top="0.5" bottom="0.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1"/>
  <sheetViews>
    <sheetView showGridLines="0" tabSelected="1" workbookViewId="0">
      <selection activeCell="I11" sqref="I11"/>
    </sheetView>
  </sheetViews>
  <sheetFormatPr baseColWidth="10" defaultColWidth="9.140625" defaultRowHeight="15" x14ac:dyDescent="0.25"/>
  <cols>
    <col min="1" max="1" width="8" customWidth="1"/>
    <col min="2" max="2" width="28" customWidth="1"/>
    <col min="3" max="3" width="14" customWidth="1"/>
    <col min="4" max="6" width="10" customWidth="1"/>
    <col min="7" max="8" width="12" customWidth="1"/>
    <col min="9" max="10" width="14" customWidth="1"/>
    <col min="11" max="11" width="24" customWidth="1"/>
  </cols>
  <sheetData>
    <row r="1" spans="1:11" x14ac:dyDescent="0.25">
      <c r="A1" s="1" t="s">
        <v>0</v>
      </c>
    </row>
    <row r="3" spans="1:11" ht="32.1" customHeight="1" x14ac:dyDescent="0.5">
      <c r="A3" s="6" t="s">
        <v>24</v>
      </c>
    </row>
    <row r="4" spans="1:11" ht="15.75" x14ac:dyDescent="0.25">
      <c r="A4" s="3" t="s">
        <v>25</v>
      </c>
    </row>
    <row r="6" spans="1:1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8" spans="1:11" ht="45" x14ac:dyDescent="0.25">
      <c r="A8" s="7" t="s">
        <v>26</v>
      </c>
      <c r="B8" s="7" t="s">
        <v>27</v>
      </c>
      <c r="C8" s="7" t="s">
        <v>28</v>
      </c>
      <c r="D8" s="7" t="s">
        <v>29</v>
      </c>
      <c r="E8" s="7" t="s">
        <v>30</v>
      </c>
      <c r="F8" s="7" t="s">
        <v>31</v>
      </c>
      <c r="G8" s="7" t="s">
        <v>32</v>
      </c>
      <c r="H8" s="7" t="s">
        <v>33</v>
      </c>
      <c r="I8" s="7" t="s">
        <v>34</v>
      </c>
      <c r="J8" s="7" t="s">
        <v>35</v>
      </c>
      <c r="K8" s="7" t="s">
        <v>36</v>
      </c>
    </row>
    <row r="9" spans="1:11" ht="30" x14ac:dyDescent="0.25">
      <c r="A9" s="8">
        <v>2026</v>
      </c>
      <c r="B9" s="9" t="s">
        <v>37</v>
      </c>
      <c r="C9" s="8" t="s">
        <v>38</v>
      </c>
      <c r="D9" s="10">
        <v>8</v>
      </c>
      <c r="E9" s="10">
        <v>7</v>
      </c>
      <c r="F9" s="10">
        <v>1</v>
      </c>
      <c r="G9" s="10">
        <v>7</v>
      </c>
      <c r="H9" s="10">
        <v>6</v>
      </c>
      <c r="I9" s="11">
        <v>8.4</v>
      </c>
      <c r="J9" s="12"/>
      <c r="K9" s="9" t="s">
        <v>39</v>
      </c>
    </row>
    <row r="10" spans="1:11" ht="20.100000000000001" customHeight="1" x14ac:dyDescent="0.25">
      <c r="A10" s="13"/>
      <c r="B10" s="14"/>
      <c r="C10" s="13"/>
      <c r="D10" s="15"/>
      <c r="E10" s="15"/>
      <c r="F10" s="15"/>
      <c r="G10" s="15"/>
      <c r="H10" s="15"/>
      <c r="I10" s="16"/>
      <c r="J10" s="17"/>
      <c r="K10" s="14"/>
    </row>
    <row r="11" spans="1:11" ht="20.100000000000001" customHeight="1" x14ac:dyDescent="0.25">
      <c r="A11" s="13"/>
      <c r="B11" s="14"/>
      <c r="C11" s="13"/>
      <c r="D11" s="15"/>
      <c r="E11" s="15"/>
      <c r="F11" s="15"/>
      <c r="G11" s="15"/>
      <c r="H11" s="15"/>
      <c r="I11" s="16"/>
      <c r="J11" s="17"/>
      <c r="K11" s="14"/>
    </row>
    <row r="12" spans="1:11" ht="20.100000000000001" customHeight="1" x14ac:dyDescent="0.25">
      <c r="A12" s="13"/>
      <c r="B12" s="14"/>
      <c r="C12" s="13"/>
      <c r="D12" s="15"/>
      <c r="E12" s="15"/>
      <c r="F12" s="15"/>
      <c r="G12" s="15"/>
      <c r="H12" s="15"/>
      <c r="I12" s="16"/>
      <c r="J12" s="17"/>
      <c r="K12" s="14"/>
    </row>
    <row r="13" spans="1:11" ht="20.100000000000001" customHeight="1" x14ac:dyDescent="0.25">
      <c r="A13" s="13"/>
      <c r="B13" s="14"/>
      <c r="C13" s="13"/>
      <c r="D13" s="15"/>
      <c r="E13" s="15"/>
      <c r="F13" s="15"/>
      <c r="G13" s="15"/>
      <c r="H13" s="15"/>
      <c r="I13" s="16"/>
      <c r="J13" s="17"/>
      <c r="K13" s="14"/>
    </row>
    <row r="14" spans="1:11" ht="20.100000000000001" customHeight="1" x14ac:dyDescent="0.25">
      <c r="A14" s="13"/>
      <c r="B14" s="14"/>
      <c r="C14" s="13"/>
      <c r="D14" s="15"/>
      <c r="E14" s="15"/>
      <c r="F14" s="15"/>
      <c r="G14" s="15"/>
      <c r="H14" s="15"/>
      <c r="I14" s="16"/>
      <c r="J14" s="17"/>
      <c r="K14" s="14"/>
    </row>
    <row r="15" spans="1:11" ht="20.100000000000001" customHeight="1" x14ac:dyDescent="0.25">
      <c r="A15" s="13"/>
      <c r="B15" s="14"/>
      <c r="C15" s="13"/>
      <c r="D15" s="15"/>
      <c r="E15" s="15"/>
      <c r="F15" s="15"/>
      <c r="G15" s="15"/>
      <c r="H15" s="15"/>
      <c r="I15" s="16"/>
      <c r="J15" s="17"/>
      <c r="K15" s="14"/>
    </row>
    <row r="16" spans="1:11" ht="20.100000000000001" customHeight="1" x14ac:dyDescent="0.25">
      <c r="A16" s="13"/>
      <c r="B16" s="14"/>
      <c r="C16" s="13"/>
      <c r="D16" s="15"/>
      <c r="E16" s="15"/>
      <c r="F16" s="15"/>
      <c r="G16" s="15"/>
      <c r="H16" s="15"/>
      <c r="I16" s="16"/>
      <c r="J16" s="17"/>
      <c r="K16" s="14"/>
    </row>
    <row r="17" spans="1:11" ht="20.100000000000001" customHeight="1" x14ac:dyDescent="0.25">
      <c r="A17" s="13"/>
      <c r="B17" s="14"/>
      <c r="C17" s="13"/>
      <c r="D17" s="15"/>
      <c r="E17" s="15"/>
      <c r="F17" s="15"/>
      <c r="G17" s="15"/>
      <c r="H17" s="15"/>
      <c r="I17" s="16"/>
      <c r="J17" s="17"/>
      <c r="K17" s="14"/>
    </row>
    <row r="18" spans="1:11" ht="20.100000000000001" customHeight="1" x14ac:dyDescent="0.25">
      <c r="A18" s="13"/>
      <c r="B18" s="14"/>
      <c r="C18" s="13"/>
      <c r="D18" s="15"/>
      <c r="E18" s="15"/>
      <c r="F18" s="15"/>
      <c r="G18" s="15"/>
      <c r="H18" s="15"/>
      <c r="I18" s="16"/>
      <c r="J18" s="17"/>
      <c r="K18" s="14"/>
    </row>
    <row r="19" spans="1:11" ht="20.100000000000001" customHeight="1" x14ac:dyDescent="0.25">
      <c r="A19" s="13"/>
      <c r="B19" s="14"/>
      <c r="C19" s="13"/>
      <c r="D19" s="15"/>
      <c r="E19" s="15"/>
      <c r="F19" s="15"/>
      <c r="G19" s="15"/>
      <c r="H19" s="15"/>
      <c r="I19" s="16"/>
      <c r="J19" s="17"/>
      <c r="K19" s="14"/>
    </row>
    <row r="20" spans="1:11" ht="20.100000000000001" customHeight="1" x14ac:dyDescent="0.25">
      <c r="A20" s="13"/>
      <c r="B20" s="14"/>
      <c r="C20" s="13"/>
      <c r="D20" s="15"/>
      <c r="E20" s="15"/>
      <c r="F20" s="15"/>
      <c r="G20" s="15"/>
      <c r="H20" s="15"/>
      <c r="I20" s="16"/>
      <c r="J20" s="17"/>
      <c r="K20" s="14"/>
    </row>
    <row r="21" spans="1:11" ht="20.100000000000001" customHeight="1" x14ac:dyDescent="0.25">
      <c r="A21" s="13"/>
      <c r="B21" s="14"/>
      <c r="C21" s="13"/>
      <c r="D21" s="15"/>
      <c r="E21" s="15"/>
      <c r="F21" s="15"/>
      <c r="G21" s="15"/>
      <c r="H21" s="15"/>
      <c r="I21" s="16"/>
      <c r="J21" s="17"/>
      <c r="K21" s="14"/>
    </row>
    <row r="22" spans="1:11" ht="20.100000000000001" customHeight="1" x14ac:dyDescent="0.25">
      <c r="A22" s="13"/>
      <c r="B22" s="14"/>
      <c r="C22" s="13"/>
      <c r="D22" s="15"/>
      <c r="E22" s="15"/>
      <c r="F22" s="15"/>
      <c r="G22" s="15"/>
      <c r="H22" s="15"/>
      <c r="I22" s="16"/>
      <c r="J22" s="17"/>
      <c r="K22" s="14"/>
    </row>
    <row r="23" spans="1:11" ht="20.100000000000001" customHeight="1" x14ac:dyDescent="0.25">
      <c r="A23" s="13"/>
      <c r="B23" s="14"/>
      <c r="C23" s="13"/>
      <c r="D23" s="15"/>
      <c r="E23" s="15"/>
      <c r="F23" s="15"/>
      <c r="G23" s="15"/>
      <c r="H23" s="15"/>
      <c r="I23" s="16"/>
      <c r="J23" s="17"/>
      <c r="K23" s="14"/>
    </row>
    <row r="24" spans="1:11" ht="20.100000000000001" customHeight="1" x14ac:dyDescent="0.25">
      <c r="A24" s="13"/>
      <c r="B24" s="14"/>
      <c r="C24" s="13"/>
      <c r="D24" s="15"/>
      <c r="E24" s="15"/>
      <c r="F24" s="15"/>
      <c r="G24" s="15"/>
      <c r="H24" s="15"/>
      <c r="I24" s="16"/>
      <c r="J24" s="17"/>
      <c r="K24" s="14"/>
    </row>
    <row r="25" spans="1:11" ht="20.100000000000001" customHeight="1" x14ac:dyDescent="0.25">
      <c r="A25" s="13"/>
      <c r="B25" s="14"/>
      <c r="C25" s="13"/>
      <c r="D25" s="15"/>
      <c r="E25" s="15"/>
      <c r="F25" s="15"/>
      <c r="G25" s="15"/>
      <c r="H25" s="15"/>
      <c r="I25" s="16"/>
      <c r="J25" s="17"/>
      <c r="K25" s="14"/>
    </row>
    <row r="26" spans="1:11" ht="20.100000000000001" customHeight="1" x14ac:dyDescent="0.25">
      <c r="A26" s="13"/>
      <c r="B26" s="14"/>
      <c r="C26" s="13"/>
      <c r="D26" s="15"/>
      <c r="E26" s="15"/>
      <c r="F26" s="15"/>
      <c r="G26" s="15"/>
      <c r="H26" s="15"/>
      <c r="I26" s="16"/>
      <c r="J26" s="17"/>
      <c r="K26" s="14"/>
    </row>
    <row r="27" spans="1:11" ht="20.100000000000001" customHeight="1" x14ac:dyDescent="0.25">
      <c r="A27" s="13"/>
      <c r="B27" s="14"/>
      <c r="C27" s="13"/>
      <c r="D27" s="15"/>
      <c r="E27" s="15"/>
      <c r="F27" s="15"/>
      <c r="G27" s="15"/>
      <c r="H27" s="15"/>
      <c r="I27" s="16"/>
      <c r="J27" s="17"/>
      <c r="K27" s="14"/>
    </row>
    <row r="28" spans="1:11" ht="20.100000000000001" customHeight="1" x14ac:dyDescent="0.25">
      <c r="A28" s="13"/>
      <c r="B28" s="14"/>
      <c r="C28" s="13"/>
      <c r="D28" s="15"/>
      <c r="E28" s="15"/>
      <c r="F28" s="15"/>
      <c r="G28" s="15"/>
      <c r="H28" s="15"/>
      <c r="I28" s="16"/>
      <c r="J28" s="17"/>
      <c r="K28" s="14"/>
    </row>
    <row r="31" spans="1:11" ht="36" customHeight="1" x14ac:dyDescent="0.25">
      <c r="A31" s="18" t="s">
        <v>40</v>
      </c>
      <c r="B31" s="33" t="s">
        <v>41</v>
      </c>
      <c r="C31" s="31"/>
      <c r="D31" s="31"/>
      <c r="E31" s="31"/>
      <c r="F31" s="31"/>
      <c r="G31" s="31"/>
      <c r="H31" s="31"/>
      <c r="I31" s="31"/>
      <c r="J31" s="31"/>
      <c r="K31" s="31"/>
    </row>
  </sheetData>
  <mergeCells count="1">
    <mergeCell ref="B31:K31"/>
  </mergeCells>
  <pageMargins left="0.4" right="0.4" top="0.4" bottom="0.4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2"/>
  <sheetViews>
    <sheetView showGridLines="0" workbookViewId="0">
      <selection activeCell="C18" sqref="C18"/>
    </sheetView>
  </sheetViews>
  <sheetFormatPr baseColWidth="10" defaultColWidth="9.140625" defaultRowHeight="15" x14ac:dyDescent="0.25"/>
  <cols>
    <col min="1" max="1" width="28" customWidth="1"/>
    <col min="2" max="5" width="16" customWidth="1"/>
    <col min="6" max="6" width="36" customWidth="1"/>
  </cols>
  <sheetData>
    <row r="1" spans="1:6" x14ac:dyDescent="0.25">
      <c r="A1" s="1" t="s">
        <v>0</v>
      </c>
    </row>
    <row r="3" spans="1:6" ht="32.1" customHeight="1" x14ac:dyDescent="0.5">
      <c r="A3" s="6" t="s">
        <v>42</v>
      </c>
    </row>
    <row r="4" spans="1:6" ht="15.75" x14ac:dyDescent="0.25">
      <c r="A4" s="3" t="s">
        <v>43</v>
      </c>
    </row>
    <row r="6" spans="1:6" x14ac:dyDescent="0.25">
      <c r="A6" s="4"/>
      <c r="B6" s="4"/>
      <c r="C6" s="4"/>
      <c r="D6" s="4"/>
      <c r="E6" s="4"/>
      <c r="F6" s="4"/>
    </row>
    <row r="8" spans="1:6" ht="15.75" x14ac:dyDescent="0.25">
      <c r="A8" s="30" t="s">
        <v>44</v>
      </c>
      <c r="B8" s="31"/>
      <c r="C8" s="31"/>
      <c r="D8" s="31"/>
      <c r="E8" s="31"/>
      <c r="F8" s="31"/>
    </row>
    <row r="10" spans="1:6" ht="21.95" customHeight="1" x14ac:dyDescent="0.25">
      <c r="A10" s="7" t="s">
        <v>45</v>
      </c>
      <c r="B10" s="7" t="s">
        <v>46</v>
      </c>
      <c r="C10" s="7" t="s">
        <v>47</v>
      </c>
      <c r="D10" s="7" t="s">
        <v>48</v>
      </c>
      <c r="E10" s="7" t="s">
        <v>49</v>
      </c>
      <c r="F10" s="7" t="s">
        <v>50</v>
      </c>
    </row>
    <row r="11" spans="1:6" x14ac:dyDescent="0.25">
      <c r="A11" s="19" t="s">
        <v>51</v>
      </c>
      <c r="B11" s="20">
        <v>2024</v>
      </c>
      <c r="C11" s="20">
        <v>2025</v>
      </c>
      <c r="D11" s="20">
        <v>2026</v>
      </c>
    </row>
    <row r="12" spans="1:6" ht="20.100000000000001" customHeight="1" x14ac:dyDescent="0.25">
      <c r="A12" s="21" t="s">
        <v>52</v>
      </c>
      <c r="B12" s="22">
        <f>COUNTIF('Saisie données'!$A$9:$A$28, B$11)</f>
        <v>0</v>
      </c>
      <c r="C12" s="22">
        <f>COUNTIF('Saisie données'!$A$9:$A$28, C$11)</f>
        <v>0</v>
      </c>
      <c r="D12" s="22">
        <f>COUNTIF('Saisie données'!$A$9:$A$28, D$11)</f>
        <v>1</v>
      </c>
      <c r="E12" s="23" t="str">
        <f t="shared" ref="E12:E19" si="0">IFERROR((D12-C12)/C12, "")</f>
        <v/>
      </c>
      <c r="F12" s="14"/>
    </row>
    <row r="13" spans="1:6" ht="20.100000000000001" customHeight="1" x14ac:dyDescent="0.25">
      <c r="A13" s="21" t="s">
        <v>53</v>
      </c>
      <c r="B13" s="22">
        <f>SUMIF('Saisie données'!$A$9:$A$28, B$11, 'Saisie données'!$D$9:$D$28)</f>
        <v>0</v>
      </c>
      <c r="C13" s="22">
        <f>SUMIF('Saisie données'!$A$9:$A$28, C$11, 'Saisie données'!$D$9:$D$28)</f>
        <v>0</v>
      </c>
      <c r="D13" s="22">
        <f>SUMIF('Saisie données'!$A$9:$A$28, D$11, 'Saisie données'!$D$9:$D$28)</f>
        <v>8</v>
      </c>
      <c r="E13" s="23" t="str">
        <f t="shared" si="0"/>
        <v/>
      </c>
      <c r="F13" s="14"/>
    </row>
    <row r="14" spans="1:6" ht="20.100000000000001" customHeight="1" x14ac:dyDescent="0.25">
      <c r="A14" s="21" t="s">
        <v>54</v>
      </c>
      <c r="B14" s="22">
        <f>SUMIF('Saisie données'!$A$9:$A$28, B$11, 'Saisie données'!$E$9:$E$28)</f>
        <v>0</v>
      </c>
      <c r="C14" s="22">
        <f>SUMIF('Saisie données'!$A$9:$A$28, C$11, 'Saisie données'!$E$9:$E$28)</f>
        <v>0</v>
      </c>
      <c r="D14" s="22">
        <f>SUMIF('Saisie données'!$A$9:$A$28, D$11, 'Saisie données'!$E$9:$E$28)</f>
        <v>7</v>
      </c>
      <c r="E14" s="23" t="str">
        <f t="shared" si="0"/>
        <v/>
      </c>
      <c r="F14" s="14"/>
    </row>
    <row r="15" spans="1:6" ht="20.100000000000001" customHeight="1" x14ac:dyDescent="0.25">
      <c r="A15" s="21" t="s">
        <v>55</v>
      </c>
      <c r="B15" s="24" t="str">
        <f>IFERROR(SUMIFS('Saisie données'!$E$9:$E$28, 'Saisie données'!$A$9:$A$28, B$11) / SUMIFS('Saisie données'!$D$9:$D$28, 'Saisie données'!$A$9:$A$28, B$11), "")</f>
        <v/>
      </c>
      <c r="C15" s="24" t="str">
        <f>IFERROR(SUMIFS('Saisie données'!$E$9:$E$28, 'Saisie données'!$A$9:$A$28, C$11) / SUMIFS('Saisie données'!$D$9:$D$28, 'Saisie données'!$A$9:$A$28, C$11), "")</f>
        <v/>
      </c>
      <c r="D15" s="24">
        <f>IFERROR(SUMIFS('Saisie données'!$E$9:$E$28, 'Saisie données'!$A$9:$A$28, D$11) / SUMIFS('Saisie données'!$D$9:$D$28, 'Saisie données'!$A$9:$A$28, D$11), "")</f>
        <v>0.875</v>
      </c>
      <c r="E15" s="23" t="str">
        <f t="shared" si="0"/>
        <v/>
      </c>
      <c r="F15" s="14"/>
    </row>
    <row r="16" spans="1:6" ht="20.100000000000001" customHeight="1" x14ac:dyDescent="0.25">
      <c r="A16" s="21" t="s">
        <v>56</v>
      </c>
      <c r="B16" s="24" t="str">
        <f>IFERROR(SUMIFS('Saisie données'!$F$9:$F$28, 'Saisie données'!$A$9:$A$28, B$11) / SUMIFS('Saisie données'!$D$9:$D$28, 'Saisie données'!$A$9:$A$28, B$11), "")</f>
        <v/>
      </c>
      <c r="C16" s="24" t="str">
        <f>IFERROR(SUMIFS('Saisie données'!$F$9:$F$28, 'Saisie données'!$A$9:$A$28, C$11) / SUMIFS('Saisie données'!$D$9:$D$28, 'Saisie données'!$A$9:$A$28, C$11), "")</f>
        <v/>
      </c>
      <c r="D16" s="24">
        <f>IFERROR(SUMIFS('Saisie données'!$F$9:$F$28, 'Saisie données'!$A$9:$A$28, D$11) / SUMIFS('Saisie données'!$D$9:$D$28, 'Saisie données'!$A$9:$A$28, D$11), "")</f>
        <v>0.125</v>
      </c>
      <c r="E16" s="23" t="str">
        <f t="shared" si="0"/>
        <v/>
      </c>
      <c r="F16" s="14"/>
    </row>
    <row r="17" spans="1:6" ht="20.100000000000001" customHeight="1" x14ac:dyDescent="0.25">
      <c r="A17" s="21" t="s">
        <v>57</v>
      </c>
      <c r="B17" s="24" t="str">
        <f>IFERROR(SUMIFS('Saisie données'!$H$9:$H$28, 'Saisie données'!$A$9:$A$28, B$11) / SUMIFS('Saisie données'!$G$9:$G$28, 'Saisie données'!$A$9:$A$28, B$11), "")</f>
        <v/>
      </c>
      <c r="C17" s="24" t="str">
        <f>IFERROR(SUMIFS('Saisie données'!$H$9:$H$28, 'Saisie données'!$A$9:$A$28, C$11) / SUMIFS('Saisie données'!$G$9:$G$28, 'Saisie données'!$A$9:$A$28, C$11), "")</f>
        <v/>
      </c>
      <c r="D17" s="24">
        <f>IFERROR(SUMIFS('Saisie données'!$H$9:$H$28, 'Saisie données'!$A$9:$A$28, D$11) / SUMIFS('Saisie données'!$G$9:$G$28, 'Saisie données'!$A$9:$A$28, D$11), "")</f>
        <v>0.8571428571428571</v>
      </c>
      <c r="E17" s="23" t="str">
        <f t="shared" si="0"/>
        <v/>
      </c>
      <c r="F17" s="14"/>
    </row>
    <row r="18" spans="1:6" ht="20.100000000000001" customHeight="1" x14ac:dyDescent="0.25">
      <c r="A18" s="21" t="s">
        <v>58</v>
      </c>
      <c r="B18" s="25" t="str">
        <f>IFERROR(AVERAGEIFS('Saisie données'!$I$9:$I$28, 'Saisie données'!$A$9:$A$28, B$11), "")</f>
        <v/>
      </c>
      <c r="C18" s="25" t="str">
        <f>IFERROR(AVERAGEIFS('Saisie données'!$I$9:$I$28, 'Saisie données'!$A$9:$A$28, C$11), "")</f>
        <v/>
      </c>
      <c r="D18" s="25">
        <f>IFERROR(AVERAGEIFS('Saisie données'!$I$9:$I$28, 'Saisie données'!$A$9:$A$28, D$11), "")</f>
        <v>8.4</v>
      </c>
      <c r="E18" s="23" t="str">
        <f t="shared" si="0"/>
        <v/>
      </c>
      <c r="F18" s="14"/>
    </row>
    <row r="19" spans="1:6" ht="20.100000000000001" customHeight="1" x14ac:dyDescent="0.25">
      <c r="A19" s="21" t="s">
        <v>59</v>
      </c>
      <c r="B19" s="24" t="str">
        <f>IFERROR(AVERAGEIFS('Saisie données'!$J$9:$J$28, 'Saisie données'!$A$9:$A$28, B$11, 'Saisie données'!$C$9:$C$28, "CFA"), "")</f>
        <v/>
      </c>
      <c r="C19" s="24" t="str">
        <f>IFERROR(AVERAGEIFS('Saisie données'!$J$9:$J$28, 'Saisie données'!$A$9:$A$28, C$11, 'Saisie données'!$C$9:$C$28, "CFA"), "")</f>
        <v/>
      </c>
      <c r="D19" s="24" t="str">
        <f>IFERROR(AVERAGEIFS('Saisie données'!$J$9:$J$28, 'Saisie données'!$A$9:$A$28, D$11, 'Saisie données'!$C$9:$C$28, "CFA"), "")</f>
        <v/>
      </c>
      <c r="E19" s="23" t="str">
        <f t="shared" si="0"/>
        <v/>
      </c>
      <c r="F19" s="14"/>
    </row>
    <row r="22" spans="1:6" ht="36" customHeight="1" x14ac:dyDescent="0.25">
      <c r="A22" s="18" t="s">
        <v>40</v>
      </c>
      <c r="B22" s="33" t="s">
        <v>60</v>
      </c>
      <c r="C22" s="31"/>
      <c r="D22" s="31"/>
      <c r="E22" s="31"/>
      <c r="F22" s="31"/>
    </row>
  </sheetData>
  <mergeCells count="2">
    <mergeCell ref="A8:F8"/>
    <mergeCell ref="B22:F22"/>
  </mergeCells>
  <pageMargins left="0.4" right="0.4" top="0.4" bottom="0.4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8"/>
  <sheetViews>
    <sheetView showGridLines="0" workbookViewId="0">
      <selection activeCell="A17" sqref="A17"/>
    </sheetView>
  </sheetViews>
  <sheetFormatPr baseColWidth="10" defaultColWidth="9.140625" defaultRowHeight="15" x14ac:dyDescent="0.25"/>
  <cols>
    <col min="1" max="1" width="36" customWidth="1"/>
    <col min="2" max="2" width="14" customWidth="1"/>
    <col min="3" max="3" width="12" customWidth="1"/>
    <col min="4" max="4" width="48" customWidth="1"/>
  </cols>
  <sheetData>
    <row r="1" spans="1:4" x14ac:dyDescent="0.25">
      <c r="A1" s="1" t="s">
        <v>0</v>
      </c>
    </row>
    <row r="3" spans="1:4" ht="32.1" customHeight="1" x14ac:dyDescent="0.5">
      <c r="A3" s="6" t="s">
        <v>61</v>
      </c>
    </row>
    <row r="4" spans="1:4" ht="15.75" x14ac:dyDescent="0.25">
      <c r="A4" s="3" t="s">
        <v>62</v>
      </c>
    </row>
    <row r="6" spans="1:4" x14ac:dyDescent="0.25">
      <c r="A6" s="4"/>
      <c r="B6" s="4"/>
      <c r="C6" s="4"/>
      <c r="D6" s="4"/>
    </row>
    <row r="8" spans="1:4" ht="15.75" x14ac:dyDescent="0.25">
      <c r="A8" s="30" t="s">
        <v>63</v>
      </c>
      <c r="B8" s="31"/>
      <c r="C8" s="31"/>
      <c r="D8" s="31"/>
    </row>
    <row r="10" spans="1:4" ht="21.95" customHeight="1" x14ac:dyDescent="0.25">
      <c r="A10" s="7" t="s">
        <v>45</v>
      </c>
      <c r="B10" s="7" t="s">
        <v>64</v>
      </c>
      <c r="C10" s="7" t="s">
        <v>65</v>
      </c>
      <c r="D10" s="7" t="s">
        <v>66</v>
      </c>
    </row>
    <row r="11" spans="1:4" ht="21.95" customHeight="1" x14ac:dyDescent="0.25">
      <c r="A11" s="21" t="s">
        <v>67</v>
      </c>
      <c r="B11" s="26">
        <f>'Bilan synthèse'!D13</f>
        <v>8</v>
      </c>
      <c r="C11" s="22">
        <f>'Bilan synthèse'!D11</f>
        <v>2026</v>
      </c>
      <c r="D11" s="27" t="s">
        <v>68</v>
      </c>
    </row>
    <row r="12" spans="1:4" ht="21.95" customHeight="1" x14ac:dyDescent="0.25">
      <c r="A12" s="21" t="s">
        <v>55</v>
      </c>
      <c r="B12" s="28">
        <f>'Bilan synthèse'!D15</f>
        <v>0.875</v>
      </c>
      <c r="C12" s="22">
        <f>'Bilan synthèse'!D11</f>
        <v>2026</v>
      </c>
      <c r="D12" s="27" t="s">
        <v>69</v>
      </c>
    </row>
    <row r="13" spans="1:4" ht="21.95" customHeight="1" x14ac:dyDescent="0.25">
      <c r="A13" s="21" t="s">
        <v>70</v>
      </c>
      <c r="B13" s="28">
        <f>'Bilan synthèse'!D17</f>
        <v>0.8571428571428571</v>
      </c>
      <c r="C13" s="22">
        <f>'Bilan synthèse'!D11</f>
        <v>2026</v>
      </c>
      <c r="D13" s="27" t="s">
        <v>71</v>
      </c>
    </row>
    <row r="14" spans="1:4" ht="21.95" customHeight="1" x14ac:dyDescent="0.25">
      <c r="A14" s="21" t="s">
        <v>72</v>
      </c>
      <c r="B14" s="29">
        <f>'Bilan synthèse'!D18</f>
        <v>8.4</v>
      </c>
      <c r="C14" s="22">
        <f>'Bilan synthèse'!D11</f>
        <v>2026</v>
      </c>
      <c r="D14" s="27" t="s">
        <v>73</v>
      </c>
    </row>
    <row r="15" spans="1:4" ht="21.95" customHeight="1" x14ac:dyDescent="0.25">
      <c r="A15" s="21" t="s">
        <v>74</v>
      </c>
      <c r="B15" s="28" t="str">
        <f>'Bilan synthèse'!D19</f>
        <v/>
      </c>
      <c r="C15" s="22">
        <f>'Bilan synthèse'!D11</f>
        <v>2026</v>
      </c>
      <c r="D15" s="27" t="s">
        <v>75</v>
      </c>
    </row>
    <row r="18" spans="1:4" ht="48" customHeight="1" x14ac:dyDescent="0.25">
      <c r="A18" s="18" t="s">
        <v>40</v>
      </c>
      <c r="B18" s="33" t="s">
        <v>76</v>
      </c>
      <c r="C18" s="31"/>
      <c r="D18" s="31"/>
    </row>
  </sheetData>
  <mergeCells count="2">
    <mergeCell ref="B18:D18"/>
    <mergeCell ref="A8:D8"/>
  </mergeCells>
  <pageMargins left="0.4" right="0.4" top="0.4" bottom="0.4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Mode d'emploi</vt:lpstr>
      <vt:lpstr>Saisie données</vt:lpstr>
      <vt:lpstr>Bilan synthèse</vt:lpstr>
      <vt:lpstr>Publication site web</vt:lpstr>
      <vt:lpstr>'Bilan synthèse'!Zone_d_impression</vt:lpstr>
      <vt:lpstr>'Mode d''emploi'!Zone_d_impression</vt:lpstr>
      <vt:lpstr>'Publication site web'!Zone_d_impression</vt:lpstr>
      <vt:lpstr>'Saisie données'!Zone_d_impression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Sofiane Dnednia</cp:lastModifiedBy>
  <dcterms:created xsi:type="dcterms:W3CDTF">2026-05-13T13:20:20Z</dcterms:created>
  <dcterms:modified xsi:type="dcterms:W3CDTF">2026-05-13T18:17:32Z</dcterms:modified>
</cp:coreProperties>
</file>