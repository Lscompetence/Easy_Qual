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🗂 Mode d'emploi" sheetId="1" state="visible" r:id="rId3"/>
    <sheet name="📋 Tableau de veille" sheetId="2" state="visible" r:id="rId4"/>
    <sheet name="🔗 Sources de référence" sheetId="3" state="visible" r:id="rId5"/>
    <sheet name="📊 Synthèse &amp; bi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<sst xmlns="http://schemas.openxmlformats.org/spreadsheetml/2006/main" count="144" uniqueCount="114">
  <si>
    <t xml:space="preserve">TABLEAU DE VEILLE TRI-THÉMATIQUE</t>
  </si>
  <si>
    <t xml:space="preserve">Modèle M44 — Veille légale + métiers + pédagogique — Ind. 23 · 24 · 25</t>
  </si>
  <si>
    <t xml:space="preserve">À QUOI SERT CE DOCUMENT</t>
  </si>
  <si>
    <t xml:space="preserve">Tableau unique consolidant les trois veilles obligatoires. Chaque ligne = une information captée + son IMPACT + l'ACTION menée. C'est la preuve la plus simple et la plus convaincante des Ind. 23-24-25. La colonne « impact » et la colonne « action » sont l'attendu fort de l'audit : sans elles, la veille est une preuve vide.</t>
  </si>
  <si>
    <t xml:space="preserve">STRUCTURE DU CLASSEUR</t>
  </si>
  <si>
    <t xml:space="preserve">📋 Tableau de veille</t>
  </si>
  <si>
    <t xml:space="preserve">Tableau unique tri-thématique. Colonne « Catégorie » = 23/24/25.</t>
  </si>
  <si>
    <t xml:space="preserve">🔗 Sources de référence</t>
  </si>
  <si>
    <t xml:space="preserve">Annuaire des sources surveillées par thématique.</t>
  </si>
  <si>
    <t xml:space="preserve">📊 Synthèse &amp; bilan annuel</t>
  </si>
  <si>
    <t xml:space="preserve">Volume par catégorie, taux d'exploitation, bilan pour audit.</t>
  </si>
  <si>
    <t xml:space="preserve">LÉGENDE — CATÉGORIES DE VEILLE</t>
  </si>
  <si>
    <t xml:space="preserve">⚖ Ind. 23 — Légale</t>
  </si>
  <si>
    <t xml:space="preserve">Le CADRE change : lois, décrets, CPF, RGPD, Qualiopi, financements</t>
  </si>
  <si>
    <t xml:space="preserve">💼 Ind. 24 — Métiers</t>
  </si>
  <si>
    <t xml:space="preserve">Sur QUOI on forme : RNCP/RS, compétences émergentes, métiers en tension</t>
  </si>
  <si>
    <t xml:space="preserve">🎓 Ind. 25 — Pédago</t>
  </si>
  <si>
    <t xml:space="preserve">COMMENT on forme : méthodes, neurosciences, outils LMS, IA pédago</t>
  </si>
  <si>
    <t xml:space="preserve">💡 Ind. 23-24-25</t>
  </si>
  <si>
    <t xml:space="preserve">Pièges fréquents (PDF officiel) : (1) veille = liste de newsletters non lues, (2) pas de colonne impact, (3) veille concentrée la semaine avant l'audit, (4) veille non diffusée à l'équipe, (5) source unique. Alimenter RÉGULIÈREMENT (mensuel min.) et toujours remplir « impact » + « action ».</t>
  </si>
  <si>
    <t xml:space="preserve">📋 TABLEAU DE VEILLE TRI-THÉMATIQUE</t>
  </si>
  <si>
    <t xml:space="preserve">Une ligne par information captée — colonnes IMPACT et ACTION obligatoires</t>
  </si>
  <si>
    <t xml:space="preserve">N°</t>
  </si>
  <si>
    <t xml:space="preserve">Date</t>
  </si>
  <si>
    <t xml:space="preserve">Catégorie</t>
  </si>
  <si>
    <t xml:space="preserve">Source</t>
  </si>
  <si>
    <t xml:space="preserve">Information captée</t>
  </si>
  <si>
    <t xml:space="preserve">Impact sur nos prestations</t>
  </si>
  <si>
    <t xml:space="preserve">Action décidée</t>
  </si>
  <si>
    <t xml:space="preserve">Statut</t>
  </si>
  <si>
    <t xml:space="preserve">01</t>
  </si>
  <si>
    <t xml:space="preserve">12/01/26</t>
  </si>
  <si>
    <t xml:space="preserve">⚖ Ind. 23 Légale</t>
  </si>
  <si>
    <t xml:space="preserve">Centre Inffo</t>
  </si>
  <si>
    <t xml:space="preserve">Réforme CPF : reste à charge de 100 € au 02/05/2024</t>
  </si>
  <si>
    <t xml:space="preserve">Mention obligatoire sur fiches web + contrats</t>
  </si>
  <si>
    <t xml:space="preserve">Mise à jour M1 + M6 — fait le 20/01/26</t>
  </si>
  <si>
    <t xml:space="preserve">✓ Action faite</t>
  </si>
  <si>
    <t xml:space="preserve">02</t>
  </si>
  <si>
    <t xml:space="preserve">03/02/26</t>
  </si>
  <si>
    <t xml:space="preserve">💼 Ind. 24 Métiers</t>
  </si>
  <si>
    <t xml:space="preserve">France Compétences</t>
  </si>
  <si>
    <t xml:space="preserve">Révision fiche RNCP35634 (bloc 2 modifié)</t>
  </si>
  <si>
    <t xml:space="preserve">Programme du module désaligné du référentiel</t>
  </si>
  <si>
    <t xml:space="preserve">Refonte M5 module concerné — fait le 28/02/26</t>
  </si>
  <si>
    <t xml:space="preserve">03</t>
  </si>
  <si>
    <t xml:space="preserve">15/03/26</t>
  </si>
  <si>
    <t xml:space="preserve">🎓 Ind. 25 Pédago</t>
  </si>
  <si>
    <t xml:space="preserve">ThotCursus</t>
  </si>
  <si>
    <t xml:space="preserve">Article : classe inversée et engagement adultes</t>
  </si>
  <si>
    <t xml:space="preserve">Opportunité d'amélioration de l'engagement</t>
  </si>
  <si>
    <t xml:space="preserve">Test sur 1 session pilote — CR prévu</t>
  </si>
  <si>
    <t xml:space="preserve">⏳ En cours</t>
  </si>
  <si>
    <t xml:space="preserve">04</t>
  </si>
  <si>
    <t xml:space="preserve">02/04/26</t>
  </si>
  <si>
    <t xml:space="preserve">Légifrance</t>
  </si>
  <si>
    <t xml:space="preserve">Décret évolution conditions Qualiopi sous-traitance</t>
  </si>
  <si>
    <t xml:space="preserve">Convention sous-traitant à vérifier</t>
  </si>
  <si>
    <t xml:space="preserve">Revue M41 Article 3 — fait le 10/04/26</t>
  </si>
  <si>
    <t xml:space="preserve">05</t>
  </si>
  <si>
    <t xml:space="preserve">20/04/26</t>
  </si>
  <si>
    <t xml:space="preserve">Observatoire branche</t>
  </si>
  <si>
    <t xml:space="preserve">Compétence « IA générative » émergente secteur tertiaire</t>
  </si>
  <si>
    <t xml:space="preserve">Opportunité nouveau module catalogue</t>
  </si>
  <si>
    <t xml:space="preserve">Étude de faisabilité lancée</t>
  </si>
  <si>
    <t xml:space="preserve">📌 À traiter</t>
  </si>
  <si>
    <t xml:space="preserve">🔗 ANNUAIRE DES SOURCES SURVEILLÉES</t>
  </si>
  <si>
    <t xml:space="preserve">Sources par catégorie — diversifier pour éviter la NC « source unique »</t>
  </si>
  <si>
    <t xml:space="preserve">URL / Accès</t>
  </si>
  <si>
    <t xml:space="preserve">Périodicité</t>
  </si>
  <si>
    <t xml:space="preserve">legifrance.gouv.fr</t>
  </si>
  <si>
    <t xml:space="preserve">Mensuelle</t>
  </si>
  <si>
    <t xml:space="preserve">centre-inffo.fr</t>
  </si>
  <si>
    <t xml:space="preserve">Hebdomadaire</t>
  </si>
  <si>
    <t xml:space="preserve">francecompetences.fr</t>
  </si>
  <si>
    <t xml:space="preserve">Observatoire de branche [ secteur ]</t>
  </si>
  <si>
    <t xml:space="preserve">[ url ]</t>
  </si>
  <si>
    <t xml:space="preserve">Trimestrielle</t>
  </si>
  <si>
    <t xml:space="preserve">France Travail — tensions emploi</t>
  </si>
  <si>
    <t xml:space="preserve">francetravail.fr</t>
  </si>
  <si>
    <t xml:space="preserve">06</t>
  </si>
  <si>
    <t xml:space="preserve">CEREQ / DARES</t>
  </si>
  <si>
    <t xml:space="preserve">cereq.fr / dares.travail-emploi.gouv.fr</t>
  </si>
  <si>
    <t xml:space="preserve">Semestrielle</t>
  </si>
  <si>
    <t xml:space="preserve">07</t>
  </si>
  <si>
    <t xml:space="preserve">thotcursus.com</t>
  </si>
  <si>
    <t xml:space="preserve">08</t>
  </si>
  <si>
    <t xml:space="preserve">Sydologie</t>
  </si>
  <si>
    <t xml:space="preserve">sydologie.com</t>
  </si>
  <si>
    <t xml:space="preserve">09</t>
  </si>
  <si>
    <t xml:space="preserve">FormaVox</t>
  </si>
  <si>
    <t xml:space="preserve">formavox.com</t>
  </si>
  <si>
    <t xml:space="preserve">📊 SYNTHÈSE &amp; BILAN ANNUEL DE LA VEILLE</t>
  </si>
  <si>
    <t xml:space="preserve">Indicateurs Ind. 23-24-25 — pour pilotage interne + audit</t>
  </si>
  <si>
    <t xml:space="preserve">INDICATEUR</t>
  </si>
  <si>
    <t xml:space="preserve">Valeur</t>
  </si>
  <si>
    <t xml:space="preserve">Nombre total d'entrées de veille</t>
  </si>
  <si>
    <t xml:space="preserve">Veille légale (Ind. 23)</t>
  </si>
  <si>
    <t xml:space="preserve">Veille métiers (Ind. 24)</t>
  </si>
  <si>
    <t xml:space="preserve">Veille pédagogique (Ind. 25)</t>
  </si>
  <si>
    <t xml:space="preserve">Actions menées (exploitation effective)</t>
  </si>
  <si>
    <t xml:space="preserve">Actions en cours</t>
  </si>
  <si>
    <t xml:space="preserve">Items à traiter (en attente)</t>
  </si>
  <si>
    <t xml:space="preserve">Taux d'exploitation (action faite / total)</t>
  </si>
  <si>
    <t xml:space="preserve">Nombre de sources actives surveillées</t>
  </si>
  <si>
    <t xml:space="preserve">ANALYSE QUALITATIVE</t>
  </si>
  <si>
    <t xml:space="preserve">Évolutions majeures captées</t>
  </si>
  <si>
    <t xml:space="preserve">[ Ex. Réforme CPF, révision RNCP du domaine X ]</t>
  </si>
  <si>
    <t xml:space="preserve">Impact concret sur les prestations</t>
  </si>
  <si>
    <t xml:space="preserve">[ Ex. 4 programmes refondus, 2 contrats mis à jour ]</t>
  </si>
  <si>
    <t xml:space="preserve">Sources les plus utiles</t>
  </si>
  <si>
    <t xml:space="preserve">[ Ex. Centre Inffo et France Compétences ]</t>
  </si>
  <si>
    <t xml:space="preserve">Axes d'amélioration de la veille N+1</t>
  </si>
  <si>
    <t xml:space="preserve">[ Ex. Ajouter une source sectorielle, automatiser alertes 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</si>
</sst>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18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12"/>
      <color rgb="FF0F2A47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i val="true"/>
      <sz val="10"/>
      <color rgb="FF8887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FAEEDA"/>
        <bgColor rgb="FFF1EFE8"/>
      </patternFill>
    </fill>
    <fill>
      <patternFill patternType="solid">
        <fgColor rgb="FF0F2A47"/>
        <bgColor rgb="FF2C2C2A"/>
      </patternFill>
    </fill>
    <fill>
      <patternFill patternType="solid">
        <fgColor rgb="FFF1EFE8"/>
        <bgColor rgb="FFFAEEDA"/>
      </patternFill>
    </fill>
    <fill>
      <patternFill patternType="solid">
        <fgColor rgb="FFE6F0FA"/>
        <bgColor rgb="FFF1EFE8"/>
      </patternFill>
    </fill>
    <fill>
      <patternFill patternType="solid">
        <fgColor rgb="FFFFFFFF"/>
        <bgColor rgb="FFFBFAF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EBC2"/>
        </patternFill>
      </fill>
    </dxf>
    <dxf>
      <fill>
        <patternFill>
          <bgColor rgb="FFF7DCB8"/>
        </patternFill>
      </fill>
    </dxf>
    <dxf>
      <fill>
        <patternFill>
          <bgColor rgb="FFF5C7C0"/>
        </patternFill>
      </fill>
    </dxf>
    <dxf>
      <fill>
        <patternFill>
          <bgColor rgb="FFE8E8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F1E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8EBC2"/>
      <rgbColor rgb="FFF7DCB8"/>
      <rgbColor rgb="FFFBFAF6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79.5" hidden="false" customHeight="true" outlineLevel="0" collapsed="false">
      <c r="C7" s="5" t="s">
        <v>3</v>
      </c>
    </row>
    <row r="9" customFormat="false" ht="21.75" hidden="false" customHeight="true" outlineLevel="0" collapsed="false">
      <c r="B9" s="4" t="s">
        <v>4</v>
      </c>
      <c r="C9" s="4"/>
    </row>
    <row r="10" customFormat="false" ht="33.75" hidden="false" customHeight="true" outlineLevel="0" collapsed="false">
      <c r="B10" s="6" t="s">
        <v>5</v>
      </c>
      <c r="C10" s="7" t="s">
        <v>6</v>
      </c>
    </row>
    <row r="11" customFormat="false" ht="33.75" hidden="false" customHeight="true" outlineLevel="0" collapsed="false">
      <c r="B11" s="6" t="s">
        <v>7</v>
      </c>
      <c r="C11" s="7" t="s">
        <v>8</v>
      </c>
    </row>
    <row r="12" customFormat="false" ht="33.75" hidden="false" customHeight="true" outlineLevel="0" collapsed="false">
      <c r="B12" s="6" t="s">
        <v>9</v>
      </c>
      <c r="C12" s="7" t="s">
        <v>10</v>
      </c>
    </row>
    <row r="14" customFormat="false" ht="21.75" hidden="false" customHeight="true" outlineLevel="0" collapsed="false">
      <c r="B14" s="4" t="s">
        <v>11</v>
      </c>
      <c r="C14" s="4"/>
    </row>
    <row r="15" customFormat="false" ht="27.75" hidden="false" customHeight="true" outlineLevel="0" collapsed="false">
      <c r="B15" s="6" t="s">
        <v>12</v>
      </c>
      <c r="C15" s="7" t="s">
        <v>13</v>
      </c>
    </row>
    <row r="16" customFormat="false" ht="27.75" hidden="false" customHeight="true" outlineLevel="0" collapsed="false">
      <c r="B16" s="6" t="s">
        <v>14</v>
      </c>
      <c r="C16" s="7" t="s">
        <v>15</v>
      </c>
    </row>
    <row r="17" customFormat="false" ht="27.75" hidden="false" customHeight="true" outlineLevel="0" collapsed="false">
      <c r="B17" s="6" t="s">
        <v>16</v>
      </c>
      <c r="C17" s="7" t="s">
        <v>17</v>
      </c>
    </row>
    <row r="19" customFormat="false" ht="60" hidden="false" customHeight="true" outlineLevel="0" collapsed="false">
      <c r="B19" s="8" t="s">
        <v>18</v>
      </c>
      <c r="C19" s="9" t="s">
        <v>19</v>
      </c>
    </row>
  </sheetData>
  <mergeCells count="5">
    <mergeCell ref="B2:C2"/>
    <mergeCell ref="B3:C3"/>
    <mergeCell ref="B6:C6"/>
    <mergeCell ref="B9:C9"/>
    <mergeCell ref="B14:C14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&amp;K888780M44 — Tableau de veille  ·  &amp;A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30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2"/>
  </cols>
  <sheetData>
    <row r="2" customFormat="false" ht="30" hidden="false" customHeight="true" outlineLevel="0" collapsed="false">
      <c r="B2" s="10" t="s">
        <v>20</v>
      </c>
      <c r="C2" s="10"/>
      <c r="D2" s="10"/>
      <c r="E2" s="10"/>
      <c r="F2" s="10"/>
      <c r="G2" s="10"/>
      <c r="H2" s="10"/>
      <c r="I2" s="10"/>
    </row>
    <row r="3" customFormat="false" ht="19.5" hidden="false" customHeight="true" outlineLevel="0" collapsed="false">
      <c r="B3" s="11" t="s">
        <v>21</v>
      </c>
      <c r="C3" s="11"/>
      <c r="D3" s="11"/>
      <c r="E3" s="11"/>
      <c r="F3" s="11"/>
      <c r="G3" s="11"/>
      <c r="H3" s="11"/>
      <c r="I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6" customFormat="false" ht="31.5" hidden="false" customHeight="true" outlineLevel="0" collapsed="false">
      <c r="B6" s="12" t="s">
        <v>22</v>
      </c>
      <c r="C6" s="12" t="s">
        <v>23</v>
      </c>
      <c r="D6" s="12" t="s">
        <v>24</v>
      </c>
      <c r="E6" s="12" t="s">
        <v>25</v>
      </c>
      <c r="F6" s="12" t="s">
        <v>26</v>
      </c>
      <c r="G6" s="12" t="s">
        <v>27</v>
      </c>
      <c r="H6" s="12" t="s">
        <v>28</v>
      </c>
      <c r="I6" s="12" t="s">
        <v>29</v>
      </c>
    </row>
    <row r="7" customFormat="false" ht="43.5" hidden="false" customHeight="true" outlineLevel="0" collapsed="false">
      <c r="B7" s="13" t="s">
        <v>30</v>
      </c>
      <c r="C7" s="13" t="s">
        <v>31</v>
      </c>
      <c r="D7" s="14" t="s">
        <v>32</v>
      </c>
      <c r="E7" s="14" t="s">
        <v>33</v>
      </c>
      <c r="F7" s="14" t="s">
        <v>34</v>
      </c>
      <c r="G7" s="14" t="s">
        <v>35</v>
      </c>
      <c r="H7" s="14" t="s">
        <v>36</v>
      </c>
      <c r="I7" s="13" t="s">
        <v>37</v>
      </c>
    </row>
    <row r="8" customFormat="false" ht="43.5" hidden="false" customHeight="true" outlineLevel="0" collapsed="false">
      <c r="B8" s="13" t="s">
        <v>38</v>
      </c>
      <c r="C8" s="13" t="s">
        <v>39</v>
      </c>
      <c r="D8" s="14" t="s">
        <v>40</v>
      </c>
      <c r="E8" s="14" t="s">
        <v>41</v>
      </c>
      <c r="F8" s="14" t="s">
        <v>42</v>
      </c>
      <c r="G8" s="14" t="s">
        <v>43</v>
      </c>
      <c r="H8" s="14" t="s">
        <v>44</v>
      </c>
      <c r="I8" s="13" t="s">
        <v>37</v>
      </c>
    </row>
    <row r="9" customFormat="false" ht="43.5" hidden="false" customHeight="true" outlineLevel="0" collapsed="false">
      <c r="B9" s="13" t="s">
        <v>45</v>
      </c>
      <c r="C9" s="13" t="s">
        <v>46</v>
      </c>
      <c r="D9" s="14" t="s">
        <v>47</v>
      </c>
      <c r="E9" s="14" t="s">
        <v>48</v>
      </c>
      <c r="F9" s="14" t="s">
        <v>49</v>
      </c>
      <c r="G9" s="14" t="s">
        <v>50</v>
      </c>
      <c r="H9" s="14" t="s">
        <v>51</v>
      </c>
      <c r="I9" s="13" t="s">
        <v>52</v>
      </c>
    </row>
    <row r="10" customFormat="false" ht="43.5" hidden="false" customHeight="true" outlineLevel="0" collapsed="false">
      <c r="B10" s="13" t="s">
        <v>53</v>
      </c>
      <c r="C10" s="13" t="s">
        <v>54</v>
      </c>
      <c r="D10" s="14" t="s">
        <v>32</v>
      </c>
      <c r="E10" s="14" t="s">
        <v>55</v>
      </c>
      <c r="F10" s="14" t="s">
        <v>56</v>
      </c>
      <c r="G10" s="14" t="s">
        <v>57</v>
      </c>
      <c r="H10" s="14" t="s">
        <v>58</v>
      </c>
      <c r="I10" s="13" t="s">
        <v>37</v>
      </c>
    </row>
    <row r="11" customFormat="false" ht="43.5" hidden="false" customHeight="true" outlineLevel="0" collapsed="false">
      <c r="B11" s="13" t="s">
        <v>59</v>
      </c>
      <c r="C11" s="13" t="s">
        <v>60</v>
      </c>
      <c r="D11" s="14" t="s">
        <v>40</v>
      </c>
      <c r="E11" s="14" t="s">
        <v>61</v>
      </c>
      <c r="F11" s="14" t="s">
        <v>62</v>
      </c>
      <c r="G11" s="14" t="s">
        <v>63</v>
      </c>
      <c r="H11" s="14" t="s">
        <v>64</v>
      </c>
      <c r="I11" s="13" t="s">
        <v>65</v>
      </c>
    </row>
    <row r="12" customFormat="false" ht="36" hidden="false" customHeight="true" outlineLevel="0" collapsed="false">
      <c r="B12" s="15"/>
      <c r="C12" s="15"/>
      <c r="D12" s="16"/>
      <c r="E12" s="16"/>
      <c r="F12" s="16"/>
      <c r="G12" s="16"/>
      <c r="H12" s="16"/>
      <c r="I12" s="15"/>
    </row>
    <row r="13" customFormat="false" ht="36" hidden="false" customHeight="true" outlineLevel="0" collapsed="false">
      <c r="B13" s="15"/>
      <c r="C13" s="15"/>
      <c r="D13" s="16"/>
      <c r="E13" s="16"/>
      <c r="F13" s="16"/>
      <c r="G13" s="16"/>
      <c r="H13" s="16"/>
      <c r="I13" s="15"/>
    </row>
    <row r="14" customFormat="false" ht="36" hidden="false" customHeight="true" outlineLevel="0" collapsed="false">
      <c r="B14" s="15"/>
      <c r="C14" s="15"/>
      <c r="D14" s="16"/>
      <c r="E14" s="16"/>
      <c r="F14" s="16"/>
      <c r="G14" s="16"/>
      <c r="H14" s="16"/>
      <c r="I14" s="15"/>
    </row>
    <row r="15" customFormat="false" ht="36" hidden="false" customHeight="true" outlineLevel="0" collapsed="false">
      <c r="B15" s="15"/>
      <c r="C15" s="15"/>
      <c r="D15" s="16"/>
      <c r="E15" s="16"/>
      <c r="F15" s="16"/>
      <c r="G15" s="16"/>
      <c r="H15" s="16"/>
      <c r="I15" s="15"/>
    </row>
    <row r="16" customFormat="false" ht="36" hidden="false" customHeight="true" outlineLevel="0" collapsed="false">
      <c r="B16" s="15"/>
      <c r="C16" s="15"/>
      <c r="D16" s="16"/>
      <c r="E16" s="16"/>
      <c r="F16" s="16"/>
      <c r="G16" s="16"/>
      <c r="H16" s="16"/>
      <c r="I16" s="15"/>
    </row>
    <row r="17" customFormat="false" ht="36" hidden="false" customHeight="true" outlineLevel="0" collapsed="false">
      <c r="B17" s="15"/>
      <c r="C17" s="15"/>
      <c r="D17" s="16"/>
      <c r="E17" s="16"/>
      <c r="F17" s="16"/>
      <c r="G17" s="16"/>
      <c r="H17" s="16"/>
      <c r="I17" s="15"/>
    </row>
    <row r="18" customFormat="false" ht="36" hidden="false" customHeight="true" outlineLevel="0" collapsed="false">
      <c r="B18" s="15"/>
      <c r="C18" s="15"/>
      <c r="D18" s="16"/>
      <c r="E18" s="16"/>
      <c r="F18" s="16"/>
      <c r="G18" s="16"/>
      <c r="H18" s="16"/>
      <c r="I18" s="15"/>
    </row>
    <row r="19" customFormat="false" ht="36" hidden="false" customHeight="true" outlineLevel="0" collapsed="false">
      <c r="B19" s="15"/>
      <c r="C19" s="15"/>
      <c r="D19" s="16"/>
      <c r="E19" s="16"/>
      <c r="F19" s="16"/>
      <c r="G19" s="16"/>
      <c r="H19" s="16"/>
      <c r="I19" s="15"/>
    </row>
    <row r="20" customFormat="false" ht="36" hidden="false" customHeight="true" outlineLevel="0" collapsed="false">
      <c r="B20" s="15"/>
      <c r="C20" s="15"/>
      <c r="D20" s="16"/>
      <c r="E20" s="16"/>
      <c r="F20" s="16"/>
      <c r="G20" s="16"/>
      <c r="H20" s="16"/>
      <c r="I20" s="15"/>
    </row>
    <row r="21" customFormat="false" ht="36" hidden="false" customHeight="true" outlineLevel="0" collapsed="false">
      <c r="B21" s="15"/>
      <c r="C21" s="15"/>
      <c r="D21" s="16"/>
      <c r="E21" s="16"/>
      <c r="F21" s="16"/>
      <c r="G21" s="16"/>
      <c r="H21" s="16"/>
      <c r="I21" s="15"/>
    </row>
    <row r="22" customFormat="false" ht="36" hidden="false" customHeight="true" outlineLevel="0" collapsed="false">
      <c r="B22" s="15"/>
      <c r="C22" s="15"/>
      <c r="D22" s="16"/>
      <c r="E22" s="16"/>
      <c r="F22" s="16"/>
      <c r="G22" s="16"/>
      <c r="H22" s="16"/>
      <c r="I22" s="15"/>
    </row>
    <row r="23" customFormat="false" ht="36" hidden="false" customHeight="true" outlineLevel="0" collapsed="false">
      <c r="B23" s="15"/>
      <c r="C23" s="15"/>
      <c r="D23" s="16"/>
      <c r="E23" s="16"/>
      <c r="F23" s="16"/>
      <c r="G23" s="16"/>
      <c r="H23" s="16"/>
      <c r="I23" s="15"/>
    </row>
    <row r="24" customFormat="false" ht="36" hidden="false" customHeight="true" outlineLevel="0" collapsed="false">
      <c r="B24" s="15"/>
      <c r="C24" s="15"/>
      <c r="D24" s="16"/>
      <c r="E24" s="16"/>
      <c r="F24" s="16"/>
      <c r="G24" s="16"/>
      <c r="H24" s="16"/>
      <c r="I24" s="15"/>
    </row>
    <row r="25" customFormat="false" ht="36" hidden="false" customHeight="true" outlineLevel="0" collapsed="false">
      <c r="B25" s="15"/>
      <c r="C25" s="15"/>
      <c r="D25" s="16"/>
      <c r="E25" s="16"/>
      <c r="F25" s="16"/>
      <c r="G25" s="16"/>
      <c r="H25" s="16"/>
      <c r="I25" s="15"/>
    </row>
    <row r="26" customFormat="false" ht="36" hidden="false" customHeight="true" outlineLevel="0" collapsed="false">
      <c r="B26" s="15"/>
      <c r="C26" s="15"/>
      <c r="D26" s="16"/>
      <c r="E26" s="16"/>
      <c r="F26" s="16"/>
      <c r="G26" s="16"/>
      <c r="H26" s="16"/>
      <c r="I26" s="15"/>
    </row>
    <row r="27" customFormat="false" ht="36" hidden="false" customHeight="true" outlineLevel="0" collapsed="false">
      <c r="B27" s="15"/>
      <c r="C27" s="15"/>
      <c r="D27" s="16"/>
      <c r="E27" s="16"/>
      <c r="F27" s="16"/>
      <c r="G27" s="16"/>
      <c r="H27" s="16"/>
      <c r="I27" s="15"/>
    </row>
    <row r="28" customFormat="false" ht="36" hidden="false" customHeight="true" outlineLevel="0" collapsed="false">
      <c r="B28" s="15"/>
      <c r="C28" s="15"/>
      <c r="D28" s="16"/>
      <c r="E28" s="16"/>
      <c r="F28" s="16"/>
      <c r="G28" s="16"/>
      <c r="H28" s="16"/>
      <c r="I28" s="15"/>
    </row>
    <row r="29" customFormat="false" ht="36" hidden="false" customHeight="true" outlineLevel="0" collapsed="false">
      <c r="B29" s="15"/>
      <c r="C29" s="15"/>
      <c r="D29" s="16"/>
      <c r="E29" s="16"/>
      <c r="F29" s="16"/>
      <c r="G29" s="16"/>
      <c r="H29" s="16"/>
      <c r="I29" s="15"/>
    </row>
    <row r="30" customFormat="false" ht="36" hidden="false" customHeight="true" outlineLevel="0" collapsed="false">
      <c r="B30" s="15"/>
      <c r="C30" s="15"/>
      <c r="D30" s="16"/>
      <c r="E30" s="16"/>
      <c r="F30" s="16"/>
      <c r="G30" s="16"/>
      <c r="H30" s="16"/>
      <c r="I30" s="15"/>
    </row>
    <row r="31" customFormat="false" ht="36" hidden="false" customHeight="true" outlineLevel="0" collapsed="false">
      <c r="B31" s="15"/>
      <c r="C31" s="15"/>
      <c r="D31" s="16"/>
      <c r="E31" s="16"/>
      <c r="F31" s="16"/>
      <c r="G31" s="16"/>
      <c r="H31" s="16"/>
      <c r="I31" s="15"/>
    </row>
    <row r="32" customFormat="false" ht="36" hidden="false" customHeight="true" outlineLevel="0" collapsed="false">
      <c r="B32" s="15"/>
      <c r="C32" s="15"/>
      <c r="D32" s="16"/>
      <c r="E32" s="16"/>
      <c r="F32" s="16"/>
      <c r="G32" s="16"/>
      <c r="H32" s="16"/>
      <c r="I32" s="15"/>
    </row>
    <row r="33" customFormat="false" ht="36" hidden="false" customHeight="true" outlineLevel="0" collapsed="false">
      <c r="B33" s="15"/>
      <c r="C33" s="15"/>
      <c r="D33" s="16"/>
      <c r="E33" s="16"/>
      <c r="F33" s="16"/>
      <c r="G33" s="16"/>
      <c r="H33" s="16"/>
      <c r="I33" s="15"/>
    </row>
    <row r="34" customFormat="false" ht="36" hidden="false" customHeight="true" outlineLevel="0" collapsed="false">
      <c r="B34" s="15"/>
      <c r="C34" s="15"/>
      <c r="D34" s="16"/>
      <c r="E34" s="16"/>
      <c r="F34" s="16"/>
      <c r="G34" s="16"/>
      <c r="H34" s="16"/>
      <c r="I34" s="15"/>
    </row>
    <row r="35" customFormat="false" ht="36" hidden="false" customHeight="true" outlineLevel="0" collapsed="false">
      <c r="B35" s="15"/>
      <c r="C35" s="15"/>
      <c r="D35" s="16"/>
      <c r="E35" s="16"/>
      <c r="F35" s="16"/>
      <c r="G35" s="16"/>
      <c r="H35" s="16"/>
      <c r="I35" s="15"/>
    </row>
    <row r="36" customFormat="false" ht="36" hidden="false" customHeight="true" outlineLevel="0" collapsed="false">
      <c r="B36" s="15"/>
      <c r="C36" s="15"/>
      <c r="D36" s="16"/>
      <c r="E36" s="16"/>
      <c r="F36" s="16"/>
      <c r="G36" s="16"/>
      <c r="H36" s="16"/>
      <c r="I36" s="15"/>
    </row>
  </sheetData>
  <mergeCells count="2">
    <mergeCell ref="B2:I2"/>
    <mergeCell ref="B3:I3"/>
  </mergeCells>
  <conditionalFormatting sqref="I12:I36">
    <cfRule type="expression" priority="2" aboveAverage="0" equalAverage="0" bottom="0" percent="0" rank="0" text="" dxfId="0">
      <formula>I12="✓ Action faite"</formula>
    </cfRule>
    <cfRule type="expression" priority="3" aboveAverage="0" equalAverage="0" bottom="0" percent="0" rank="0" text="" dxfId="1">
      <formula>I12="⏳ En cours"</formula>
    </cfRule>
    <cfRule type="expression" priority="4" aboveAverage="0" equalAverage="0" bottom="0" percent="0" rank="0" text="" dxfId="2">
      <formula>I12="📌 À traiter"</formula>
    </cfRule>
    <cfRule type="expression" priority="5" aboveAverage="0" equalAverage="0" bottom="0" percent="0" rank="0" text="" dxfId="3">
      <formula>I12="ℹ Info (pas d'action)"</formula>
    </cfRule>
  </conditionalFormatting>
  <dataValidations count="2">
    <dataValidation allowBlank="true" errorStyle="stop" operator="between" showDropDown="false" showErrorMessage="false" showInputMessage="false" sqref="D12:D36" type="list">
      <formula1>"⚖ Ind. 23 Légale,💼 Ind. 24 Métiers,🎓 Ind. 25 Pédago"</formula1>
      <formula2>0</formula2>
    </dataValidation>
    <dataValidation allowBlank="true" errorStyle="stop" operator="between" showDropDown="false" showErrorMessage="false" showInputMessage="false" sqref="I12:I36" type="list">
      <formula1>"✓ Action faite,⏳ En cours,📌 À traiter,ℹ Info (pas d'action)"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&amp;K888780M44 — Tableau de veille  ·  &amp;A  ·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5" min="4" style="0" width="28"/>
    <col collapsed="false" customWidth="true" hidden="false" outlineLevel="0" max="6" min="6" style="0" width="16"/>
    <col collapsed="false" customWidth="true" hidden="false" outlineLevel="0" max="7" min="7" style="0" width="2"/>
  </cols>
  <sheetData>
    <row r="2" customFormat="false" ht="30" hidden="false" customHeight="true" outlineLevel="0" collapsed="false">
      <c r="B2" s="10" t="s">
        <v>66</v>
      </c>
      <c r="C2" s="10"/>
      <c r="D2" s="10"/>
      <c r="E2" s="10"/>
      <c r="F2" s="10"/>
      <c r="G2" s="10"/>
    </row>
    <row r="3" customFormat="false" ht="19.5" hidden="false" customHeight="true" outlineLevel="0" collapsed="false">
      <c r="B3" s="11" t="s">
        <v>67</v>
      </c>
      <c r="C3" s="11"/>
      <c r="D3" s="11"/>
      <c r="E3" s="11"/>
      <c r="F3" s="11"/>
      <c r="G3" s="11"/>
    </row>
    <row r="4" customFormat="false" ht="6" hidden="false" customHeight="true" outlineLevel="0" collapsed="false">
      <c r="B4" s="3"/>
      <c r="C4" s="3"/>
      <c r="D4" s="3"/>
      <c r="E4" s="3"/>
      <c r="F4" s="3"/>
    </row>
    <row r="6" customFormat="false" ht="30" hidden="false" customHeight="true" outlineLevel="0" collapsed="false">
      <c r="B6" s="12" t="s">
        <v>22</v>
      </c>
      <c r="C6" s="12" t="s">
        <v>24</v>
      </c>
      <c r="D6" s="12" t="s">
        <v>25</v>
      </c>
      <c r="E6" s="12" t="s">
        <v>68</v>
      </c>
      <c r="F6" s="12" t="s">
        <v>69</v>
      </c>
    </row>
    <row r="7" customFormat="false" ht="24" hidden="false" customHeight="true" outlineLevel="0" collapsed="false">
      <c r="B7" s="13" t="s">
        <v>30</v>
      </c>
      <c r="C7" s="14" t="s">
        <v>32</v>
      </c>
      <c r="D7" s="14" t="s">
        <v>55</v>
      </c>
      <c r="E7" s="14" t="s">
        <v>70</v>
      </c>
      <c r="F7" s="14" t="s">
        <v>71</v>
      </c>
    </row>
    <row r="8" customFormat="false" ht="24" hidden="false" customHeight="true" outlineLevel="0" collapsed="false">
      <c r="B8" s="13" t="s">
        <v>38</v>
      </c>
      <c r="C8" s="14" t="s">
        <v>32</v>
      </c>
      <c r="D8" s="14" t="s">
        <v>33</v>
      </c>
      <c r="E8" s="14" t="s">
        <v>72</v>
      </c>
      <c r="F8" s="14" t="s">
        <v>73</v>
      </c>
    </row>
    <row r="9" customFormat="false" ht="24" hidden="false" customHeight="true" outlineLevel="0" collapsed="false">
      <c r="B9" s="13" t="s">
        <v>45</v>
      </c>
      <c r="C9" s="14" t="s">
        <v>32</v>
      </c>
      <c r="D9" s="14" t="s">
        <v>41</v>
      </c>
      <c r="E9" s="14" t="s">
        <v>74</v>
      </c>
      <c r="F9" s="14" t="s">
        <v>71</v>
      </c>
    </row>
    <row r="10" customFormat="false" ht="24" hidden="false" customHeight="true" outlineLevel="0" collapsed="false">
      <c r="B10" s="13" t="s">
        <v>53</v>
      </c>
      <c r="C10" s="14" t="s">
        <v>40</v>
      </c>
      <c r="D10" s="14" t="s">
        <v>75</v>
      </c>
      <c r="E10" s="14" t="s">
        <v>76</v>
      </c>
      <c r="F10" s="14" t="s">
        <v>77</v>
      </c>
    </row>
    <row r="11" customFormat="false" ht="24" hidden="false" customHeight="true" outlineLevel="0" collapsed="false">
      <c r="B11" s="13" t="s">
        <v>59</v>
      </c>
      <c r="C11" s="14" t="s">
        <v>40</v>
      </c>
      <c r="D11" s="14" t="s">
        <v>78</v>
      </c>
      <c r="E11" s="14" t="s">
        <v>79</v>
      </c>
      <c r="F11" s="14" t="s">
        <v>77</v>
      </c>
    </row>
    <row r="12" customFormat="false" ht="24" hidden="false" customHeight="true" outlineLevel="0" collapsed="false">
      <c r="B12" s="13" t="s">
        <v>80</v>
      </c>
      <c r="C12" s="14" t="s">
        <v>40</v>
      </c>
      <c r="D12" s="14" t="s">
        <v>81</v>
      </c>
      <c r="E12" s="14" t="s">
        <v>82</v>
      </c>
      <c r="F12" s="14" t="s">
        <v>83</v>
      </c>
    </row>
    <row r="13" customFormat="false" ht="24" hidden="false" customHeight="true" outlineLevel="0" collapsed="false">
      <c r="B13" s="13" t="s">
        <v>84</v>
      </c>
      <c r="C13" s="14" t="s">
        <v>47</v>
      </c>
      <c r="D13" s="14" t="s">
        <v>48</v>
      </c>
      <c r="E13" s="14" t="s">
        <v>85</v>
      </c>
      <c r="F13" s="14" t="s">
        <v>71</v>
      </c>
    </row>
    <row r="14" customFormat="false" ht="24" hidden="false" customHeight="true" outlineLevel="0" collapsed="false">
      <c r="B14" s="13" t="s">
        <v>86</v>
      </c>
      <c r="C14" s="14" t="s">
        <v>47</v>
      </c>
      <c r="D14" s="14" t="s">
        <v>87</v>
      </c>
      <c r="E14" s="14" t="s">
        <v>88</v>
      </c>
      <c r="F14" s="14" t="s">
        <v>71</v>
      </c>
    </row>
    <row r="15" customFormat="false" ht="24" hidden="false" customHeight="true" outlineLevel="0" collapsed="false">
      <c r="B15" s="13" t="s">
        <v>89</v>
      </c>
      <c r="C15" s="14" t="s">
        <v>47</v>
      </c>
      <c r="D15" s="14" t="s">
        <v>90</v>
      </c>
      <c r="E15" s="14" t="s">
        <v>91</v>
      </c>
      <c r="F15" s="14" t="s">
        <v>71</v>
      </c>
    </row>
    <row r="16" customFormat="false" ht="24" hidden="false" customHeight="true" outlineLevel="0" collapsed="false">
      <c r="B16" s="15"/>
      <c r="C16" s="16"/>
      <c r="D16" s="16"/>
      <c r="E16" s="16"/>
      <c r="F16" s="16"/>
    </row>
    <row r="17" customFormat="false" ht="24" hidden="false" customHeight="true" outlineLevel="0" collapsed="false">
      <c r="B17" s="15"/>
      <c r="C17" s="16"/>
      <c r="D17" s="16"/>
      <c r="E17" s="16"/>
      <c r="F17" s="16"/>
    </row>
    <row r="18" customFormat="false" ht="24" hidden="false" customHeight="true" outlineLevel="0" collapsed="false">
      <c r="B18" s="15"/>
      <c r="C18" s="16"/>
      <c r="D18" s="16"/>
      <c r="E18" s="16"/>
      <c r="F18" s="16"/>
    </row>
    <row r="19" customFormat="false" ht="24" hidden="false" customHeight="true" outlineLevel="0" collapsed="false">
      <c r="B19" s="15"/>
      <c r="C19" s="16"/>
      <c r="D19" s="16"/>
      <c r="E19" s="16"/>
      <c r="F19" s="16"/>
    </row>
    <row r="20" customFormat="false" ht="24" hidden="false" customHeight="true" outlineLevel="0" collapsed="false">
      <c r="B20" s="15"/>
      <c r="C20" s="16"/>
      <c r="D20" s="16"/>
      <c r="E20" s="16"/>
      <c r="F20" s="16"/>
    </row>
    <row r="21" customFormat="false" ht="24" hidden="false" customHeight="true" outlineLevel="0" collapsed="false">
      <c r="B21" s="15"/>
      <c r="C21" s="16"/>
      <c r="D21" s="16"/>
      <c r="E21" s="16"/>
      <c r="F21" s="16"/>
    </row>
    <row r="22" customFormat="false" ht="24" hidden="false" customHeight="true" outlineLevel="0" collapsed="false">
      <c r="B22" s="15"/>
      <c r="C22" s="16"/>
      <c r="D22" s="16"/>
      <c r="E22" s="16"/>
      <c r="F22" s="16"/>
    </row>
    <row r="23" customFormat="false" ht="24" hidden="false" customHeight="true" outlineLevel="0" collapsed="false">
      <c r="B23" s="15"/>
      <c r="C23" s="16"/>
      <c r="D23" s="16"/>
      <c r="E23" s="16"/>
      <c r="F23" s="16"/>
    </row>
    <row r="24" customFormat="false" ht="24" hidden="false" customHeight="true" outlineLevel="0" collapsed="false">
      <c r="B24" s="15"/>
      <c r="C24" s="16"/>
      <c r="D24" s="16"/>
      <c r="E24" s="16"/>
      <c r="F24" s="16"/>
    </row>
    <row r="25" customFormat="false" ht="24" hidden="false" customHeight="true" outlineLevel="0" collapsed="false">
      <c r="B25" s="15"/>
      <c r="C25" s="16"/>
      <c r="D25" s="16"/>
      <c r="E25" s="16"/>
      <c r="F25" s="16"/>
    </row>
  </sheetData>
  <mergeCells count="2">
    <mergeCell ref="B2:G2"/>
    <mergeCell ref="B3:G3"/>
  </mergeCells>
  <dataValidations count="1">
    <dataValidation allowBlank="true" errorStyle="stop" operator="between" showDropDown="false" showErrorMessage="false" showInputMessage="false" sqref="C16:C25" type="list">
      <formula1>"⚖ Ind. 23 Légale,💼 Ind. 24 Métiers,🎓 Ind. 25 Pédago"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&amp;K888780M44 — Tableau de veille  ·  &amp;A  · 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"/>
  </cols>
  <sheetData>
    <row r="2" customFormat="false" ht="30" hidden="false" customHeight="true" outlineLevel="0" collapsed="false">
      <c r="B2" s="10" t="s">
        <v>92</v>
      </c>
      <c r="C2" s="10"/>
    </row>
    <row r="3" customFormat="false" ht="19.5" hidden="false" customHeight="true" outlineLevel="0" collapsed="false">
      <c r="B3" s="11" t="s">
        <v>93</v>
      </c>
      <c r="C3" s="11"/>
    </row>
    <row r="4" customFormat="false" ht="6" hidden="false" customHeight="true" outlineLevel="0" collapsed="false">
      <c r="B4" s="3"/>
      <c r="C4" s="3"/>
    </row>
    <row r="6" customFormat="false" ht="30" hidden="false" customHeight="true" outlineLevel="0" collapsed="false">
      <c r="B6" s="17" t="s">
        <v>94</v>
      </c>
      <c r="C6" s="17" t="s">
        <v>95</v>
      </c>
    </row>
    <row r="7" customFormat="false" ht="30" hidden="false" customHeight="true" outlineLevel="0" collapsed="false">
      <c r="B7" s="18" t="s">
        <v>96</v>
      </c>
      <c r="C7" s="19" t="n">
        <f aca="false">COUNTA('📋 Tableau de veille'!F12:F36)</f>
        <v>0</v>
      </c>
    </row>
    <row r="8" customFormat="false" ht="30" hidden="false" customHeight="true" outlineLevel="0" collapsed="false">
      <c r="B8" s="18" t="s">
        <v>97</v>
      </c>
      <c r="C8" s="19" t="n">
        <f aca="false">COUNTIF('📋 Tableau de veille'!D12:D36,"⚖ Ind. 23 Légale")</f>
        <v>0</v>
      </c>
    </row>
    <row r="9" customFormat="false" ht="30" hidden="false" customHeight="true" outlineLevel="0" collapsed="false">
      <c r="B9" s="18" t="s">
        <v>98</v>
      </c>
      <c r="C9" s="19" t="n">
        <f aca="false">COUNTIF('📋 Tableau de veille'!D12:D36,"💼 Ind. 24 Métiers")</f>
        <v>0</v>
      </c>
    </row>
    <row r="10" customFormat="false" ht="30" hidden="false" customHeight="true" outlineLevel="0" collapsed="false">
      <c r="B10" s="18" t="s">
        <v>99</v>
      </c>
      <c r="C10" s="19" t="n">
        <f aca="false">COUNTIF('📋 Tableau de veille'!D12:D36,"🎓 Ind. 25 Pédago")</f>
        <v>0</v>
      </c>
    </row>
    <row r="11" customFormat="false" ht="30" hidden="false" customHeight="true" outlineLevel="0" collapsed="false">
      <c r="B11" s="18" t="s">
        <v>100</v>
      </c>
      <c r="C11" s="19" t="n">
        <f aca="false">COUNTIF('📋 Tableau de veille'!I12:I36,"✓ Action faite")</f>
        <v>0</v>
      </c>
    </row>
    <row r="12" customFormat="false" ht="30" hidden="false" customHeight="true" outlineLevel="0" collapsed="false">
      <c r="B12" s="18" t="s">
        <v>101</v>
      </c>
      <c r="C12" s="19" t="n">
        <f aca="false">COUNTIF('📋 Tableau de veille'!I12:I36,"⏳ En cours")</f>
        <v>0</v>
      </c>
    </row>
    <row r="13" customFormat="false" ht="30" hidden="false" customHeight="true" outlineLevel="0" collapsed="false">
      <c r="B13" s="18" t="s">
        <v>102</v>
      </c>
      <c r="C13" s="19" t="n">
        <f aca="false">COUNTIF('📋 Tableau de veille'!I12:I36,"📌 À traiter")</f>
        <v>0</v>
      </c>
    </row>
    <row r="14" customFormat="false" ht="30" hidden="false" customHeight="true" outlineLevel="0" collapsed="false">
      <c r="B14" s="18" t="s">
        <v>103</v>
      </c>
      <c r="C14" s="20" t="n">
        <f aca="false">IFERROR(COUNTIF('📋 Tableau de veille'!I12:I36,"✓ Action faite")/COUNTA('📋 Tableau de veille'!F12:F36),0)</f>
        <v>0</v>
      </c>
    </row>
    <row r="15" customFormat="false" ht="30" hidden="false" customHeight="true" outlineLevel="0" collapsed="false">
      <c r="B15" s="18" t="s">
        <v>104</v>
      </c>
      <c r="C15" s="19" t="n">
        <f aca="false">COUNTA('🔗 Sources de référence'!D7:D26)</f>
        <v>9</v>
      </c>
    </row>
    <row r="17" customFormat="false" ht="24" hidden="false" customHeight="true" outlineLevel="0" collapsed="false">
      <c r="B17" s="21" t="s">
        <v>105</v>
      </c>
      <c r="C17" s="21"/>
    </row>
    <row r="18" customFormat="false" ht="45.75" hidden="false" customHeight="true" outlineLevel="0" collapsed="false">
      <c r="B18" s="18" t="s">
        <v>106</v>
      </c>
      <c r="C18" s="22" t="s">
        <v>107</v>
      </c>
    </row>
    <row r="19" customFormat="false" ht="45.75" hidden="false" customHeight="true" outlineLevel="0" collapsed="false">
      <c r="B19" s="18" t="s">
        <v>108</v>
      </c>
      <c r="C19" s="22" t="s">
        <v>109</v>
      </c>
    </row>
    <row r="20" customFormat="false" ht="45.75" hidden="false" customHeight="true" outlineLevel="0" collapsed="false">
      <c r="B20" s="18" t="s">
        <v>110</v>
      </c>
      <c r="C20" s="22" t="s">
        <v>111</v>
      </c>
    </row>
    <row r="21" customFormat="false" ht="45.75" hidden="false" customHeight="true" outlineLevel="0" collapsed="false">
      <c r="B21" s="18" t="s">
        <v>112</v>
      </c>
      <c r="C21" s="22" t="s">
        <v>113</v>
      </c>
    </row>
  </sheetData>
  <mergeCells count="3">
    <mergeCell ref="B2:C2"/>
    <mergeCell ref="B3:C3"/>
    <mergeCell ref="B17:C17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&amp;K888780M44 — Tableau de veille  ·  &amp;A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2026-05-16T17:08:06Z</dcterms:created>
  <dc:creator>openpyxl</dc:creator>
  <dc:description/>
  <dc:language>en-US</dc:language>
  <cp:lastModifiedBy/>
  <dcterms:modified xsi:type="dcterms:W3CDTF">2026-05-16T17:08:06Z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